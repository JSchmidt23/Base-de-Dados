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6de3b3d06be9049/Documentos/Excel/"/>
    </mc:Choice>
  </mc:AlternateContent>
  <xr:revisionPtr revIDLastSave="22" documentId="8_{838E2AFF-1616-490D-A9FB-D264A93EA76A}" xr6:coauthVersionLast="47" xr6:coauthVersionMax="47" xr10:uidLastSave="{649A5C63-6BA2-49FF-BC55-77107FBDA6BE}"/>
  <bookViews>
    <workbookView xWindow="-108" yWindow="-108" windowWidth="23256" windowHeight="12456" activeTab="9" xr2:uid="{930D56F3-F240-4633-A410-655A1645AB5D}"/>
  </bookViews>
  <sheets>
    <sheet name="Catálogo de produtos" sheetId="17" r:id="rId1"/>
    <sheet name="1º Trimestre" sheetId="1" r:id="rId2"/>
    <sheet name="2º Trimestre" sheetId="4" r:id="rId3"/>
    <sheet name="3º Trimestre" sheetId="5" r:id="rId4"/>
    <sheet name="Boletim Geral" sheetId="6" r:id="rId5"/>
    <sheet name="MASSA CORPOREA" sheetId="9" r:id="rId6"/>
    <sheet name="Relógio Ponto" sheetId="22" r:id="rId7"/>
    <sheet name="NOMES" sheetId="10" r:id="rId8"/>
    <sheet name="Procv e corresp" sheetId="15" r:id="rId9"/>
    <sheet name="Fórm Financ" sheetId="2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6" l="1"/>
  <c r="B16" i="6"/>
  <c r="B17" i="6"/>
  <c r="B18" i="6"/>
  <c r="C4" i="6"/>
  <c r="B5" i="6"/>
  <c r="B6" i="6"/>
  <c r="B7" i="6"/>
  <c r="B8" i="6"/>
  <c r="B4" i="6"/>
  <c r="E5" i="1"/>
  <c r="E6" i="1"/>
  <c r="E7" i="1"/>
  <c r="E8" i="1"/>
  <c r="E4" i="1"/>
  <c r="C15" i="17"/>
  <c r="C14" i="17"/>
  <c r="C8" i="17"/>
  <c r="C9" i="17"/>
  <c r="C10" i="17"/>
  <c r="C11" i="17"/>
  <c r="C12" i="17"/>
  <c r="F4" i="1" l="1"/>
  <c r="K2" i="10" l="1"/>
  <c r="E23" i="26" l="1"/>
  <c r="B22" i="26"/>
  <c r="B24" i="26" s="1"/>
  <c r="E8" i="26"/>
  <c r="B9" i="26"/>
  <c r="C3" i="10"/>
  <c r="C4" i="10"/>
  <c r="C5" i="10"/>
  <c r="C6" i="10"/>
  <c r="C7" i="10"/>
  <c r="C8" i="10"/>
  <c r="C2" i="10"/>
  <c r="A11" i="10"/>
  <c r="A12" i="10"/>
  <c r="A13" i="10"/>
  <c r="A14" i="10"/>
  <c r="A15" i="10"/>
  <c r="A16" i="10"/>
  <c r="A10" i="10"/>
  <c r="B12" i="26"/>
  <c r="E13" i="26"/>
  <c r="F22" i="26"/>
  <c r="B32" i="26"/>
  <c r="C32" i="26" s="1"/>
  <c r="C33" i="26" s="1"/>
  <c r="A20" i="9"/>
  <c r="A23" i="9" s="1"/>
  <c r="A24" i="9" s="1"/>
  <c r="G7" i="9"/>
  <c r="B15" i="9"/>
  <c r="B14" i="9"/>
  <c r="B13" i="9"/>
  <c r="E4" i="9"/>
  <c r="F4" i="9" s="1"/>
  <c r="E5" i="9"/>
  <c r="F5" i="9" s="1"/>
  <c r="E6" i="9"/>
  <c r="G6" i="9" s="1"/>
  <c r="E7" i="9"/>
  <c r="F7" i="9" s="1"/>
  <c r="E8" i="9"/>
  <c r="F8" i="9" s="1"/>
  <c r="E9" i="9"/>
  <c r="F9" i="9" s="1"/>
  <c r="E10" i="9"/>
  <c r="G10" i="9" s="1"/>
  <c r="E11" i="9"/>
  <c r="F11" i="9" s="1"/>
  <c r="G11" i="9" l="1"/>
  <c r="F23" i="26"/>
  <c r="G9" i="9"/>
  <c r="G4" i="9"/>
  <c r="G8" i="9"/>
  <c r="G5" i="9"/>
  <c r="F10" i="9"/>
  <c r="F6" i="9"/>
  <c r="F17" i="9" l="1"/>
  <c r="F18" i="9"/>
  <c r="A14" i="15" l="1"/>
  <c r="E8" i="5"/>
  <c r="E7" i="5"/>
  <c r="E6" i="5"/>
  <c r="E5" i="5"/>
  <c r="E4" i="5"/>
  <c r="E7" i="4"/>
  <c r="E6" i="4"/>
  <c r="E5" i="4"/>
  <c r="E4" i="4"/>
  <c r="E3" i="4"/>
  <c r="B14" i="6" l="1"/>
  <c r="B4" i="15"/>
  <c r="B6" i="15"/>
  <c r="B5" i="15"/>
  <c r="B7" i="15"/>
  <c r="A15" i="15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B8" i="15" l="1"/>
  <c r="B9" i="15"/>
</calcChain>
</file>

<file path=xl/sharedStrings.xml><?xml version="1.0" encoding="utf-8"?>
<sst xmlns="http://schemas.openxmlformats.org/spreadsheetml/2006/main" count="296" uniqueCount="174">
  <si>
    <t>1° TRIMESTRE</t>
  </si>
  <si>
    <t>DISCIPLINA</t>
  </si>
  <si>
    <t>MATEMÁTICA</t>
  </si>
  <si>
    <t>FISICA</t>
  </si>
  <si>
    <t>QUIMICA</t>
  </si>
  <si>
    <t>BIOLOGIA</t>
  </si>
  <si>
    <t>NOTA 1</t>
  </si>
  <si>
    <t>NOTA 2</t>
  </si>
  <si>
    <t>NOTA 3</t>
  </si>
  <si>
    <t>MÉDIA</t>
  </si>
  <si>
    <t>2° TRIMESTRE</t>
  </si>
  <si>
    <t>3° TRIMESTRE</t>
  </si>
  <si>
    <t>FÍSICA</t>
  </si>
  <si>
    <t>QUÍMICA</t>
  </si>
  <si>
    <t>PORTUGUÊS</t>
  </si>
  <si>
    <t>BOLETIM GERAL</t>
  </si>
  <si>
    <t>SITUAÇÃO</t>
  </si>
  <si>
    <t>NOME</t>
  </si>
  <si>
    <t>Adriana</t>
  </si>
  <si>
    <t>Felipe</t>
  </si>
  <si>
    <t>Flávia</t>
  </si>
  <si>
    <t>Juliano</t>
  </si>
  <si>
    <t>Raquel</t>
  </si>
  <si>
    <t>Vivian</t>
  </si>
  <si>
    <t>Nome</t>
  </si>
  <si>
    <t>ALLAN</t>
  </si>
  <si>
    <t>EDUARDO</t>
  </si>
  <si>
    <t>EVANDRO</t>
  </si>
  <si>
    <t>AUGUSTO</t>
  </si>
  <si>
    <t>FERNANDA</t>
  </si>
  <si>
    <t>SUELEN</t>
  </si>
  <si>
    <t>IDADE</t>
  </si>
  <si>
    <t>ALTURA</t>
  </si>
  <si>
    <t>PESO</t>
  </si>
  <si>
    <t>IMC</t>
  </si>
  <si>
    <t>RESULTADO</t>
  </si>
  <si>
    <t>REGIME SIM/ NÃO</t>
  </si>
  <si>
    <t>PAULO</t>
  </si>
  <si>
    <t>ALTURA MÁX.</t>
  </si>
  <si>
    <t>IDADE MINIMA</t>
  </si>
  <si>
    <t>MUITO MAGRO</t>
  </si>
  <si>
    <t>MÉDIA DE PESO</t>
  </si>
  <si>
    <t>NORMAL</t>
  </si>
  <si>
    <t>SOBRE PESO</t>
  </si>
  <si>
    <t>OBESO</t>
  </si>
  <si>
    <t>OBESO GRAVE</t>
  </si>
  <si>
    <t>SOBRENOME</t>
  </si>
  <si>
    <t>NOME COMPLETO</t>
  </si>
  <si>
    <t>NOME COMPLETO
(C/ ESPAÇO)</t>
  </si>
  <si>
    <t>CPF</t>
  </si>
  <si>
    <t>E-mail</t>
  </si>
  <si>
    <t>CONTATENAR</t>
  </si>
  <si>
    <t>Beatriz</t>
  </si>
  <si>
    <t>Roberto</t>
  </si>
  <si>
    <t>Financeiro</t>
  </si>
  <si>
    <t>RH</t>
  </si>
  <si>
    <t>Compras</t>
  </si>
  <si>
    <t>ID</t>
  </si>
  <si>
    <t>Sobrenome</t>
  </si>
  <si>
    <t>Cidade</t>
  </si>
  <si>
    <t>Setor</t>
  </si>
  <si>
    <t>Contato</t>
  </si>
  <si>
    <t>Renato</t>
  </si>
  <si>
    <t>Antonio</t>
  </si>
  <si>
    <t>Willin</t>
  </si>
  <si>
    <t>Gustavo</t>
  </si>
  <si>
    <t>Angela</t>
  </si>
  <si>
    <t>Maria</t>
  </si>
  <si>
    <t>Norberto</t>
  </si>
  <si>
    <t>Carlos</t>
  </si>
  <si>
    <t>Thomas</t>
  </si>
  <si>
    <t>Carolina</t>
  </si>
  <si>
    <t>Débora</t>
  </si>
  <si>
    <t>Esther</t>
  </si>
  <si>
    <t>Pereira</t>
  </si>
  <si>
    <t>Silva</t>
  </si>
  <si>
    <t>Prass</t>
  </si>
  <si>
    <t>Sorato</t>
  </si>
  <si>
    <t>da Luz</t>
  </si>
  <si>
    <t>Rosa</t>
  </si>
  <si>
    <t>Cardoso</t>
  </si>
  <si>
    <t>Costa</t>
  </si>
  <si>
    <t>Marques</t>
  </si>
  <si>
    <t>Qualiotto</t>
  </si>
  <si>
    <t>Dutra</t>
  </si>
  <si>
    <t>Machado</t>
  </si>
  <si>
    <t>Schmidt</t>
  </si>
  <si>
    <t>Haas</t>
  </si>
  <si>
    <t>Campos</t>
  </si>
  <si>
    <t>Criciúma</t>
  </si>
  <si>
    <t>Forquilinha</t>
  </si>
  <si>
    <t>Soledade</t>
  </si>
  <si>
    <t>Estado</t>
  </si>
  <si>
    <t>SC</t>
  </si>
  <si>
    <t>RS</t>
  </si>
  <si>
    <t>Pato Branco</t>
  </si>
  <si>
    <t>PR</t>
  </si>
  <si>
    <t>Turvo</t>
  </si>
  <si>
    <t>Sombrio</t>
  </si>
  <si>
    <t>Siderópolis</t>
  </si>
  <si>
    <t>Administrativo</t>
  </si>
  <si>
    <t>Venda</t>
  </si>
  <si>
    <t>Produção</t>
  </si>
  <si>
    <t>João Antônio</t>
  </si>
  <si>
    <t>Total em Dólar</t>
  </si>
  <si>
    <t>Valor em Real</t>
  </si>
  <si>
    <t>Valor em Dólar</t>
  </si>
  <si>
    <t>Produto</t>
  </si>
  <si>
    <t>Cotação do Dólar</t>
  </si>
  <si>
    <t>Catálogo de Produtos - Empresa ABC Ltda</t>
  </si>
  <si>
    <t>juliana.schmidt@satc.edu.br</t>
  </si>
  <si>
    <t>RELÓGIO PONTO</t>
  </si>
  <si>
    <t>VALOR DA HORA</t>
  </si>
  <si>
    <t>FUNCIONÁRIO</t>
  </si>
  <si>
    <t>HORA DE CHEGADA</t>
  </si>
  <si>
    <t>HORA DE SAIDA</t>
  </si>
  <si>
    <t>TOTAL DE HORAS</t>
  </si>
  <si>
    <t>TOTAL DE HORAS TRANSFORMADA</t>
  </si>
  <si>
    <t>TOTAL A RECEBER POR DIA</t>
  </si>
  <si>
    <t>Renato Shmidt</t>
  </si>
  <si>
    <t>Neusa Polenz</t>
  </si>
  <si>
    <t>Laura Shmidt</t>
  </si>
  <si>
    <t>Thiago Salviano</t>
  </si>
  <si>
    <t>Leonardo Malgarin</t>
  </si>
  <si>
    <t>Carlos Silva</t>
  </si>
  <si>
    <t>Celia Pereira</t>
  </si>
  <si>
    <t>Carlos Augusto Nogueira</t>
  </si>
  <si>
    <t xml:space="preserve">Odilla Santos </t>
  </si>
  <si>
    <t>Frequência</t>
  </si>
  <si>
    <t>TABELA CÁLCULO DO ÍNDICE DE MASSA CORPÓREA</t>
  </si>
  <si>
    <t>QUANTIDADE DE PESSOAS QUE PRECISAM DE REGIME</t>
  </si>
  <si>
    <t>QUANTIDADE DE PESSOAS QUE NÃO PRECISAM DE REGIME</t>
  </si>
  <si>
    <t>Sim</t>
  </si>
  <si>
    <t>Não</t>
  </si>
  <si>
    <t>DOMÍNIO</t>
  </si>
  <si>
    <t>Parcela</t>
  </si>
  <si>
    <t>Prazo</t>
  </si>
  <si>
    <t>Taxa</t>
  </si>
  <si>
    <t>Valor Financiado</t>
  </si>
  <si>
    <t>Valor mensal a poupar</t>
  </si>
  <si>
    <t>Período</t>
  </si>
  <si>
    <t>Valor das férias</t>
  </si>
  <si>
    <t>Dados para Economia - PGTO+VF</t>
  </si>
  <si>
    <t>Valor Futuro</t>
  </si>
  <si>
    <t>Investimento Mensal</t>
  </si>
  <si>
    <t>Dados do Investimento -VF</t>
  </si>
  <si>
    <t>Dados do Financiamento - TAXA</t>
  </si>
  <si>
    <t>Dados do Financiamento -VP</t>
  </si>
  <si>
    <t>Dados do Financiamento -NPER</t>
  </si>
  <si>
    <t>Dados do Financiamento -PGTO</t>
  </si>
  <si>
    <t>Funções Financeiras</t>
  </si>
  <si>
    <t>Fernanda</t>
  </si>
  <si>
    <t>Bruna</t>
  </si>
  <si>
    <t>Joana</t>
  </si>
  <si>
    <t>Ruth</t>
  </si>
  <si>
    <t>Gabriela</t>
  </si>
  <si>
    <t>Jussara</t>
  </si>
  <si>
    <t>Sean</t>
  </si>
  <si>
    <t>Bernardo</t>
  </si>
  <si>
    <t>Azevedo</t>
  </si>
  <si>
    <t>Coppi</t>
  </si>
  <si>
    <t>Nazário</t>
  </si>
  <si>
    <t>Patussi</t>
  </si>
  <si>
    <t>Andrade</t>
  </si>
  <si>
    <t>Soares</t>
  </si>
  <si>
    <t>Investimento Inicial</t>
  </si>
  <si>
    <t>parte do texto</t>
  </si>
  <si>
    <t>JOSÉ</t>
  </si>
  <si>
    <t>Celular</t>
  </si>
  <si>
    <t>Total em Real</t>
  </si>
  <si>
    <t>Perfume</t>
  </si>
  <si>
    <t>Vinho</t>
  </si>
  <si>
    <t>Queijo</t>
  </si>
  <si>
    <t>Alfajo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</si>
</sst>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"/>
    <numFmt numFmtId="166" formatCode="000&quot;.&quot;000&quot;.&quot;000\-00"/>
    <numFmt numFmtId="167" formatCode="0&quot;@&quot;000&quot;.&quot;000&quot;.&quot;00"/>
    <numFmt numFmtId="177" formatCode="&quot;(&quot;00&quot;)&quot;0\ 00\ 0000\ 00"/>
    <numFmt numFmtId="178" formatCode="_-[$$-409]* #,##0.00_ ;_-[$$-409]* \-#,##0.00\ ;_-[$$-409]* &quot;-&quot;??_ ;_-@_ "/>
    <numFmt numFmtId="179" formatCode="&quot;R$&quot;\ #,##0.00"/>
    <numFmt numFmtId="180" formatCode="&quot;R$&quot;\ #,##0.00;[Red]&quot;R$&quot;\ #,##0.00"/>
    <numFmt numFmtId="181" formatCode="[$-F800]dddd\,\ mmmm\ dd\,\ yyyy"/>
    <numFmt numFmtId="182" formatCode="d/m/yy;@"/>
    <numFmt numFmtId="183" formatCode="h:mm;@"/>
    <numFmt numFmtId="184" formatCode="h:mm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CC"/>
      <name val="Times New Roman"/>
      <family val="1"/>
    </font>
    <font>
      <b/>
      <sz val="12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Lucida Calligraphy"/>
      <family val="4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2"/>
      <color theme="0"/>
      <name val="Monotype Corsiva"/>
      <family val="4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50021"/>
      </left>
      <right style="thin">
        <color rgb="FFA50021"/>
      </right>
      <top style="thin">
        <color rgb="FFA50021"/>
      </top>
      <bottom style="thin">
        <color rgb="FFA500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3" borderId="1" xfId="0" applyFont="1" applyFill="1" applyBorder="1"/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22" fontId="0" fillId="0" borderId="0" xfId="0" applyNumberFormat="1"/>
    <xf numFmtId="0" fontId="2" fillId="0" borderId="1" xfId="0" applyFont="1" applyBorder="1"/>
    <xf numFmtId="2" fontId="0" fillId="0" borderId="1" xfId="0" applyNumberForma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7" fontId="0" fillId="0" borderId="1" xfId="0" quotePrefix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77" fontId="0" fillId="0" borderId="1" xfId="0" applyNumberFormat="1" applyBorder="1"/>
    <xf numFmtId="0" fontId="8" fillId="8" borderId="0" xfId="0" applyFont="1" applyFill="1" applyAlignment="1">
      <alignment horizontal="center"/>
    </xf>
    <xf numFmtId="0" fontId="0" fillId="0" borderId="5" xfId="0" applyBorder="1"/>
    <xf numFmtId="177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177" fontId="0" fillId="0" borderId="11" xfId="0" applyNumberFormat="1" applyBorder="1"/>
    <xf numFmtId="0" fontId="0" fillId="0" borderId="12" xfId="0" applyBorder="1"/>
    <xf numFmtId="0" fontId="9" fillId="0" borderId="0" xfId="3" applyAlignment="1" applyProtection="1"/>
    <xf numFmtId="178" fontId="10" fillId="0" borderId="1" xfId="2" applyNumberFormat="1" applyFont="1" applyBorder="1"/>
    <xf numFmtId="44" fontId="12" fillId="0" borderId="1" xfId="2" applyFont="1" applyBorder="1"/>
    <xf numFmtId="44" fontId="13" fillId="0" borderId="1" xfId="2" applyFont="1" applyBorder="1"/>
    <xf numFmtId="178" fontId="13" fillId="0" borderId="1" xfId="2" applyNumberFormat="1" applyFont="1" applyBorder="1"/>
    <xf numFmtId="0" fontId="13" fillId="0" borderId="1" xfId="0" applyFont="1" applyBorder="1"/>
    <xf numFmtId="0" fontId="13" fillId="0" borderId="0" xfId="0" applyFont="1"/>
    <xf numFmtId="179" fontId="11" fillId="0" borderId="1" xfId="2" applyNumberFormat="1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10" fontId="0" fillId="0" borderId="1" xfId="0" applyNumberFormat="1" applyBorder="1"/>
    <xf numFmtId="0" fontId="0" fillId="0" borderId="0" xfId="0" applyAlignment="1">
      <alignment horizontal="right"/>
    </xf>
    <xf numFmtId="44" fontId="0" fillId="0" borderId="0" xfId="0" applyNumberFormat="1"/>
    <xf numFmtId="179" fontId="0" fillId="0" borderId="0" xfId="0" applyNumberFormat="1"/>
    <xf numFmtId="44" fontId="0" fillId="0" borderId="0" xfId="2" applyFont="1"/>
    <xf numFmtId="179" fontId="0" fillId="0" borderId="0" xfId="2" applyNumberFormat="1" applyFont="1"/>
    <xf numFmtId="180" fontId="0" fillId="0" borderId="0" xfId="2" applyNumberFormat="1" applyFont="1"/>
    <xf numFmtId="44" fontId="0" fillId="0" borderId="1" xfId="2" applyFont="1" applyBorder="1"/>
    <xf numFmtId="181" fontId="0" fillId="0" borderId="0" xfId="0" applyNumberFormat="1"/>
    <xf numFmtId="182" fontId="0" fillId="0" borderId="0" xfId="0" applyNumberFormat="1"/>
    <xf numFmtId="0" fontId="0" fillId="7" borderId="3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0" xfId="0" applyFill="1"/>
    <xf numFmtId="0" fontId="5" fillId="10" borderId="1" xfId="0" applyFont="1" applyFill="1" applyBorder="1"/>
    <xf numFmtId="0" fontId="5" fillId="10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164" fontId="2" fillId="10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44" fontId="0" fillId="0" borderId="1" xfId="2" applyFont="1" applyBorder="1" applyAlignment="1">
      <alignment horizontal="center" vertical="center" wrapText="1"/>
    </xf>
    <xf numFmtId="183" fontId="17" fillId="0" borderId="1" xfId="0" applyNumberFormat="1" applyFont="1" applyBorder="1" applyAlignment="1">
      <alignment horizontal="center"/>
    </xf>
    <xf numFmtId="184" fontId="17" fillId="0" borderId="1" xfId="0" applyNumberFormat="1" applyFont="1" applyBorder="1" applyAlignment="1">
      <alignment horizontal="center"/>
    </xf>
    <xf numFmtId="2" fontId="17" fillId="0" borderId="1" xfId="0" applyNumberFormat="1" applyFont="1" applyBorder="1" applyAlignment="1">
      <alignment horizontal="center"/>
    </xf>
    <xf numFmtId="44" fontId="17" fillId="0" borderId="1" xfId="2" applyFont="1" applyBorder="1" applyAlignment="1">
      <alignment horizontal="center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 vertical="center"/>
    </xf>
    <xf numFmtId="8" fontId="0" fillId="0" borderId="0" xfId="0" applyNumberFormat="1"/>
    <xf numFmtId="9" fontId="0" fillId="0" borderId="0" xfId="0" applyNumberFormat="1"/>
    <xf numFmtId="8" fontId="0" fillId="0" borderId="1" xfId="2" applyNumberFormat="1" applyFont="1" applyBorder="1"/>
    <xf numFmtId="0" fontId="0" fillId="0" borderId="0" xfId="0" quotePrefix="1"/>
    <xf numFmtId="8" fontId="18" fillId="12" borderId="1" xfId="0" applyNumberFormat="1" applyFont="1" applyFill="1" applyBorder="1"/>
    <xf numFmtId="8" fontId="18" fillId="10" borderId="1" xfId="0" applyNumberFormat="1" applyFont="1" applyFill="1" applyBorder="1"/>
    <xf numFmtId="10" fontId="18" fillId="10" borderId="1" xfId="1" applyNumberFormat="1" applyFont="1" applyFill="1" applyBorder="1"/>
    <xf numFmtId="0" fontId="18" fillId="10" borderId="1" xfId="0" applyFont="1" applyFill="1" applyBorder="1"/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19" fillId="13" borderId="1" xfId="0" applyFont="1" applyFill="1" applyBorder="1"/>
    <xf numFmtId="0" fontId="19" fillId="13" borderId="1" xfId="0" applyFont="1" applyFill="1" applyBorder="1" applyAlignment="1">
      <alignment horizontal="center" vertical="center"/>
    </xf>
    <xf numFmtId="0" fontId="22" fillId="2" borderId="1" xfId="0" applyFont="1" applyFill="1" applyBorder="1"/>
    <xf numFmtId="0" fontId="22" fillId="2" borderId="1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16" fillId="0" borderId="1" xfId="0" applyFont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0" fillId="0" borderId="0" xfId="0" applyNumberFormat="1"/>
    <xf numFmtId="0" fontId="13" fillId="0" borderId="0" xfId="0" applyNumberFormat="1" applyFont="1"/>
    <xf numFmtId="0" fontId="13" fillId="0" borderId="0" xfId="0" applyNumberFormat="1" applyFont="1" applyAlignment="1">
      <alignment horizontal="center"/>
    </xf>
    <xf numFmtId="0" fontId="11" fillId="9" borderId="1" xfId="0" applyNumberFormat="1" applyFont="1" applyFill="1" applyBorder="1" applyAlignment="1">
      <alignment horizontal="center"/>
    </xf>
    <xf numFmtId="0" fontId="11" fillId="0" borderId="1" xfId="0" applyNumberFormat="1" applyFont="1" applyBorder="1"/>
  </cellXfs>
  <cellStyles count="4">
    <cellStyle name="Hiperlink" xfId="3" builtinId="8"/>
    <cellStyle name="Moeda" xfId="2" builtinId="4"/>
    <cellStyle name="Normal" xfId="0" builtinId="0"/>
    <cellStyle name="Porcentagem" xfId="1" builtinId="5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7" formatCode="&quot;(&quot;00&quot;)&quot;0\ 00\ 0000\ 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50021"/>
      <color rgb="FF09AF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2E842-C5B4-4E3D-B7F7-0AB920994E65}" name="TBFunc" displayName="TBFunc" ref="A12:G34" totalsRowShown="0" headerRowDxfId="14" headerRowBorderDxfId="13" tableBorderDxfId="12" totalsRowBorderDxfId="11">
  <autoFilter ref="A12:G34" xr:uid="{D582E842-C5B4-4E3D-B7F7-0AB920994E65}"/>
  <tableColumns count="7">
    <tableColumn id="1" xr3:uid="{543F97AB-77E9-4EC4-93BD-12C91067F65B}" name="ID" dataDxfId="10"/>
    <tableColumn id="2" xr3:uid="{E8B02A71-1F08-48B8-AB32-B4B69919C29A}" name="Nome" dataDxfId="9"/>
    <tableColumn id="3" xr3:uid="{3198E08D-FBDF-40E9-BC65-AF708DB3847F}" name="Sobrenome" dataDxfId="8"/>
    <tableColumn id="4" xr3:uid="{AB428E6F-FB7A-4C1F-91A8-9720569CBA65}" name="Cidade" dataDxfId="7"/>
    <tableColumn id="5" xr3:uid="{39B21F8C-5CDC-4D52-8FBD-2A172444C99A}" name="Estado" dataDxfId="6"/>
    <tableColumn id="6" xr3:uid="{EC044143-33AD-48FD-B209-657FF640EB6B}" name="Contato" dataDxfId="5"/>
    <tableColumn id="7" xr3:uid="{4C0555E9-12A2-4C43-854D-B15D7B36EB45}" name="Setor" dataDxfId="4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juliana.schmidt@satc.edu.b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D2D54-0534-4094-9826-C679097A9486}">
  <sheetPr codeName="Planilha1">
    <tabColor theme="4" tint="-0.249977111117893"/>
  </sheetPr>
  <dimension ref="A1:G19"/>
  <sheetViews>
    <sheetView topLeftCell="A2" zoomScale="175" zoomScaleNormal="175" workbookViewId="0">
      <selection activeCell="C16" sqref="C16"/>
    </sheetView>
  </sheetViews>
  <sheetFormatPr defaultRowHeight="14.4" x14ac:dyDescent="0.3"/>
  <cols>
    <col min="1" max="1" width="22.44140625" customWidth="1"/>
    <col min="2" max="2" width="18.44140625" style="110" customWidth="1"/>
    <col min="3" max="3" width="21.5546875" customWidth="1"/>
    <col min="4" max="4" width="5.33203125" customWidth="1"/>
    <col min="5" max="5" width="4.33203125" customWidth="1"/>
    <col min="6" max="6" width="25.88671875" customWidth="1"/>
    <col min="7" max="7" width="9.6640625" bestFit="1" customWidth="1"/>
  </cols>
  <sheetData>
    <row r="1" spans="1:7" ht="15" thickBot="1" x14ac:dyDescent="0.35"/>
    <row r="2" spans="1:7" ht="17.399999999999999" thickTop="1" thickBot="1" x14ac:dyDescent="0.4">
      <c r="A2" s="95" t="s">
        <v>109</v>
      </c>
      <c r="B2" s="96"/>
      <c r="C2" s="97"/>
      <c r="F2" s="46"/>
    </row>
    <row r="3" spans="1:7" ht="7.8" customHeight="1" thickTop="1" x14ac:dyDescent="0.3">
      <c r="A3" s="43"/>
      <c r="B3" s="111"/>
      <c r="C3" s="43"/>
    </row>
    <row r="4" spans="1:7" ht="15.6" x14ac:dyDescent="0.3">
      <c r="A4" s="45" t="s">
        <v>108</v>
      </c>
      <c r="B4" s="112"/>
      <c r="C4" s="43"/>
    </row>
    <row r="5" spans="1:7" ht="15.6" x14ac:dyDescent="0.3">
      <c r="A5" s="44">
        <v>5.8</v>
      </c>
      <c r="B5" s="111"/>
      <c r="C5" s="43"/>
      <c r="E5" s="50"/>
      <c r="F5" s="50"/>
      <c r="G5" s="50"/>
    </row>
    <row r="6" spans="1:7" ht="5.4" customHeight="1" x14ac:dyDescent="0.3">
      <c r="A6" s="43"/>
      <c r="B6" s="111"/>
      <c r="C6" s="43"/>
      <c r="E6" s="51"/>
      <c r="F6" s="50"/>
      <c r="G6" s="50"/>
    </row>
    <row r="7" spans="1:7" ht="15.6" x14ac:dyDescent="0.3">
      <c r="A7" s="88" t="s">
        <v>107</v>
      </c>
      <c r="B7" s="113" t="s">
        <v>106</v>
      </c>
      <c r="C7" s="88" t="s">
        <v>105</v>
      </c>
      <c r="E7" s="53"/>
      <c r="F7" s="50"/>
      <c r="G7" s="50"/>
    </row>
    <row r="8" spans="1:7" ht="15.6" x14ac:dyDescent="0.3">
      <c r="A8" s="42" t="s">
        <v>171</v>
      </c>
      <c r="B8" s="41">
        <v>17</v>
      </c>
      <c r="C8" s="40">
        <f>B8*$A$5</f>
        <v>98.6</v>
      </c>
      <c r="E8" s="52"/>
      <c r="G8" s="50"/>
    </row>
    <row r="9" spans="1:7" ht="15.6" x14ac:dyDescent="0.3">
      <c r="A9" s="42" t="s">
        <v>170</v>
      </c>
      <c r="B9" s="41">
        <v>57</v>
      </c>
      <c r="C9" s="40">
        <f t="shared" ref="C9:C12" si="0">B9*$A$5</f>
        <v>330.59999999999997</v>
      </c>
    </row>
    <row r="10" spans="1:7" ht="15.6" x14ac:dyDescent="0.3">
      <c r="A10" s="42" t="s">
        <v>168</v>
      </c>
      <c r="B10" s="41">
        <v>680</v>
      </c>
      <c r="C10" s="40">
        <f t="shared" si="0"/>
        <v>3944</v>
      </c>
    </row>
    <row r="11" spans="1:7" ht="15.6" x14ac:dyDescent="0.3">
      <c r="A11" s="42" t="s">
        <v>172</v>
      </c>
      <c r="B11" s="41">
        <v>15</v>
      </c>
      <c r="C11" s="40">
        <f t="shared" si="0"/>
        <v>87</v>
      </c>
    </row>
    <row r="12" spans="1:7" ht="15.6" x14ac:dyDescent="0.3">
      <c r="A12" s="42" t="s">
        <v>173</v>
      </c>
      <c r="B12" s="41">
        <v>5</v>
      </c>
      <c r="C12" s="40">
        <f t="shared" si="0"/>
        <v>29</v>
      </c>
    </row>
    <row r="13" spans="1:7" x14ac:dyDescent="0.3">
      <c r="A13" s="8"/>
      <c r="E13" s="49"/>
    </row>
    <row r="14" spans="1:7" ht="15.6" x14ac:dyDescent="0.3">
      <c r="B14" s="114" t="s">
        <v>169</v>
      </c>
      <c r="C14" s="39">
        <f>SUM(C8:C13)</f>
        <v>4489.2</v>
      </c>
    </row>
    <row r="15" spans="1:7" ht="15.6" x14ac:dyDescent="0.3">
      <c r="B15" s="114" t="s">
        <v>104</v>
      </c>
      <c r="C15" s="38">
        <f>SUM(B8:B12)</f>
        <v>774</v>
      </c>
      <c r="E15" s="49"/>
    </row>
    <row r="19" spans="1:1" x14ac:dyDescent="0.3">
      <c r="A19" s="37"/>
    </row>
  </sheetData>
  <mergeCells count="1"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C9FD9-66F0-4454-8E66-E1D41233C4E1}">
  <sheetPr codeName="Planilha2">
    <tabColor rgb="FF00B050"/>
  </sheetPr>
  <dimension ref="A1:I8"/>
  <sheetViews>
    <sheetView zoomScale="190" zoomScaleNormal="190" workbookViewId="0">
      <selection activeCell="B2" sqref="B2"/>
    </sheetView>
  </sheetViews>
  <sheetFormatPr defaultRowHeight="14.4" x14ac:dyDescent="0.3"/>
  <cols>
    <col min="1" max="1" width="21.77734375" customWidth="1"/>
    <col min="2" max="5" width="14.33203125" customWidth="1"/>
    <col min="9" max="9" width="26.44140625" bestFit="1" customWidth="1"/>
    <col min="12" max="12" width="23.33203125" customWidth="1"/>
  </cols>
  <sheetData>
    <row r="1" spans="1:9" ht="30" customHeight="1" x14ac:dyDescent="0.3">
      <c r="A1" s="98" t="s">
        <v>0</v>
      </c>
      <c r="B1" s="99"/>
      <c r="C1" s="99"/>
      <c r="D1" s="99"/>
      <c r="E1" s="100"/>
      <c r="G1" s="76"/>
    </row>
    <row r="2" spans="1:9" ht="9" customHeight="1" x14ac:dyDescent="0.3">
      <c r="A2" s="64"/>
      <c r="B2" s="64"/>
      <c r="C2" s="64"/>
      <c r="D2" s="64"/>
      <c r="E2" s="64"/>
    </row>
    <row r="3" spans="1:9" ht="22.5" customHeight="1" x14ac:dyDescent="0.4">
      <c r="A3" s="86" t="s">
        <v>1</v>
      </c>
      <c r="B3" s="87" t="s">
        <v>6</v>
      </c>
      <c r="C3" s="87" t="s">
        <v>7</v>
      </c>
      <c r="D3" s="87" t="s">
        <v>8</v>
      </c>
      <c r="E3" s="87" t="s">
        <v>9</v>
      </c>
      <c r="I3" s="10"/>
    </row>
    <row r="4" spans="1:9" ht="22.5" customHeight="1" x14ac:dyDescent="0.35">
      <c r="A4" s="67" t="s">
        <v>2</v>
      </c>
      <c r="B4" s="4">
        <v>8</v>
      </c>
      <c r="C4" s="4">
        <v>8</v>
      </c>
      <c r="D4" s="4">
        <v>8</v>
      </c>
      <c r="E4" s="68">
        <f>AVERAGE(B4:D4)</f>
        <v>8</v>
      </c>
      <c r="F4">
        <f>(B4+C4+D4)/3</f>
        <v>8</v>
      </c>
      <c r="I4" s="55"/>
    </row>
    <row r="5" spans="1:9" ht="22.5" customHeight="1" x14ac:dyDescent="0.35">
      <c r="A5" s="67" t="s">
        <v>14</v>
      </c>
      <c r="B5" s="4">
        <v>4</v>
      </c>
      <c r="C5" s="4">
        <v>6</v>
      </c>
      <c r="D5" s="4">
        <v>7</v>
      </c>
      <c r="E5" s="68">
        <f t="shared" ref="E5:E8" si="0">AVERAGE(B5:D5)</f>
        <v>5.666666666666667</v>
      </c>
    </row>
    <row r="6" spans="1:9" ht="22.5" customHeight="1" x14ac:dyDescent="0.35">
      <c r="A6" s="67" t="s">
        <v>12</v>
      </c>
      <c r="B6" s="4">
        <v>5.8</v>
      </c>
      <c r="C6" s="4">
        <v>6.8</v>
      </c>
      <c r="D6" s="4">
        <v>6.8</v>
      </c>
      <c r="E6" s="68">
        <f t="shared" si="0"/>
        <v>6.4666666666666659</v>
      </c>
      <c r="I6" s="56"/>
    </row>
    <row r="7" spans="1:9" ht="22.5" customHeight="1" x14ac:dyDescent="0.35">
      <c r="A7" s="67" t="s">
        <v>13</v>
      </c>
      <c r="B7" s="4">
        <v>6</v>
      </c>
      <c r="C7" s="4">
        <v>7.6</v>
      </c>
      <c r="D7" s="4">
        <v>6.6</v>
      </c>
      <c r="E7" s="68">
        <f t="shared" si="0"/>
        <v>6.7333333333333334</v>
      </c>
      <c r="F7" s="48"/>
    </row>
    <row r="8" spans="1:9" ht="22.5" customHeight="1" x14ac:dyDescent="0.35">
      <c r="A8" s="67" t="s">
        <v>5</v>
      </c>
      <c r="B8" s="4">
        <v>1</v>
      </c>
      <c r="C8" s="4">
        <v>2</v>
      </c>
      <c r="D8" s="4">
        <v>3</v>
      </c>
      <c r="E8" s="68">
        <f t="shared" si="0"/>
        <v>2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2AF3-E024-45DD-B3AD-6A0C8D4BAA91}">
  <sheetPr codeName="Planilha3"/>
  <dimension ref="A1:E7"/>
  <sheetViews>
    <sheetView zoomScale="205" zoomScaleNormal="205" workbookViewId="0">
      <selection activeCell="E3" sqref="E3"/>
    </sheetView>
  </sheetViews>
  <sheetFormatPr defaultRowHeight="14.4" x14ac:dyDescent="0.3"/>
  <cols>
    <col min="1" max="1" width="19.88671875" customWidth="1"/>
    <col min="2" max="5" width="14.33203125" customWidth="1"/>
  </cols>
  <sheetData>
    <row r="1" spans="1:5" ht="19.2" customHeight="1" x14ac:dyDescent="0.3">
      <c r="A1" s="101" t="s">
        <v>10</v>
      </c>
      <c r="B1" s="101"/>
      <c r="C1" s="101"/>
      <c r="D1" s="101"/>
      <c r="E1" s="101"/>
    </row>
    <row r="2" spans="1:5" ht="22.5" customHeight="1" x14ac:dyDescent="0.35">
      <c r="A2" s="91" t="s">
        <v>1</v>
      </c>
      <c r="B2" s="92" t="s">
        <v>6</v>
      </c>
      <c r="C2" s="92" t="s">
        <v>7</v>
      </c>
      <c r="D2" s="92" t="s">
        <v>8</v>
      </c>
      <c r="E2" s="92" t="s">
        <v>9</v>
      </c>
    </row>
    <row r="3" spans="1:5" ht="22.5" customHeight="1" x14ac:dyDescent="0.35">
      <c r="A3" s="3" t="s">
        <v>2</v>
      </c>
      <c r="B3" s="4">
        <v>7</v>
      </c>
      <c r="C3" s="4">
        <v>6</v>
      </c>
      <c r="D3" s="4">
        <v>6</v>
      </c>
      <c r="E3" s="6">
        <f>AVERAGE(B3:D3)</f>
        <v>6.333333333333333</v>
      </c>
    </row>
    <row r="4" spans="1:5" ht="22.5" customHeight="1" x14ac:dyDescent="0.35">
      <c r="A4" s="3" t="s">
        <v>14</v>
      </c>
      <c r="B4" s="4">
        <v>3</v>
      </c>
      <c r="C4" s="4">
        <v>3</v>
      </c>
      <c r="D4" s="4">
        <v>3</v>
      </c>
      <c r="E4" s="6">
        <f t="shared" ref="E4:E7" si="0">AVERAGE(B4:D4)</f>
        <v>3</v>
      </c>
    </row>
    <row r="5" spans="1:5" ht="22.5" customHeight="1" x14ac:dyDescent="0.35">
      <c r="A5" s="3" t="s">
        <v>3</v>
      </c>
      <c r="B5" s="4">
        <v>7.2</v>
      </c>
      <c r="C5" s="5">
        <v>8.1999999999999993</v>
      </c>
      <c r="D5" s="5">
        <v>7.6</v>
      </c>
      <c r="E5" s="6">
        <f t="shared" si="0"/>
        <v>7.666666666666667</v>
      </c>
    </row>
    <row r="6" spans="1:5" ht="22.5" customHeight="1" x14ac:dyDescent="0.35">
      <c r="A6" s="3" t="s">
        <v>4</v>
      </c>
      <c r="B6" s="4">
        <v>7.8</v>
      </c>
      <c r="C6" s="4">
        <v>5</v>
      </c>
      <c r="D6" s="4">
        <v>5</v>
      </c>
      <c r="E6" s="6">
        <f t="shared" si="0"/>
        <v>5.9333333333333336</v>
      </c>
    </row>
    <row r="7" spans="1:5" ht="22.5" customHeight="1" x14ac:dyDescent="0.35">
      <c r="A7" s="3" t="s">
        <v>5</v>
      </c>
      <c r="B7" s="4">
        <v>2</v>
      </c>
      <c r="C7" s="4">
        <v>1</v>
      </c>
      <c r="D7" s="4">
        <v>2</v>
      </c>
      <c r="E7" s="6">
        <f t="shared" si="0"/>
        <v>1.6666666666666667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C9210-4606-4342-96DD-34C4F9EBB738}">
  <sheetPr codeName="Planilha4">
    <tabColor rgb="FFFF0000"/>
  </sheetPr>
  <dimension ref="A1:E8"/>
  <sheetViews>
    <sheetView zoomScale="160" zoomScaleNormal="160" workbookViewId="0">
      <selection activeCell="A3" sqref="A3:A8"/>
    </sheetView>
  </sheetViews>
  <sheetFormatPr defaultRowHeight="14.4" x14ac:dyDescent="0.3"/>
  <cols>
    <col min="1" max="1" width="19.88671875" customWidth="1"/>
    <col min="2" max="5" width="14.33203125" customWidth="1"/>
  </cols>
  <sheetData>
    <row r="1" spans="1:5" ht="23.4" x14ac:dyDescent="0.45">
      <c r="A1" s="102" t="s">
        <v>11</v>
      </c>
      <c r="B1" s="102"/>
      <c r="C1" s="102"/>
      <c r="D1" s="102"/>
      <c r="E1" s="102"/>
    </row>
    <row r="3" spans="1:5" ht="22.5" customHeight="1" x14ac:dyDescent="0.4">
      <c r="A3" s="93" t="s">
        <v>1</v>
      </c>
      <c r="B3" s="94" t="s">
        <v>6</v>
      </c>
      <c r="C3" s="94" t="s">
        <v>7</v>
      </c>
      <c r="D3" s="94" t="s">
        <v>8</v>
      </c>
      <c r="E3" s="94" t="s">
        <v>9</v>
      </c>
    </row>
    <row r="4" spans="1:5" ht="22.5" customHeight="1" x14ac:dyDescent="0.35">
      <c r="A4" s="3" t="s">
        <v>2</v>
      </c>
      <c r="B4" s="4">
        <v>4</v>
      </c>
      <c r="C4" s="4">
        <v>6</v>
      </c>
      <c r="D4" s="5">
        <v>7.2</v>
      </c>
      <c r="E4" s="6">
        <f>AVERAGE(B4:D4)</f>
        <v>5.7333333333333334</v>
      </c>
    </row>
    <row r="5" spans="1:5" ht="22.5" customHeight="1" x14ac:dyDescent="0.35">
      <c r="A5" s="3" t="s">
        <v>14</v>
      </c>
      <c r="B5" s="4">
        <v>4</v>
      </c>
      <c r="C5" s="4">
        <v>5</v>
      </c>
      <c r="D5" s="4">
        <v>7</v>
      </c>
      <c r="E5" s="6">
        <f t="shared" ref="E5:E8" si="0">AVERAGE(B5:D5)</f>
        <v>5.333333333333333</v>
      </c>
    </row>
    <row r="6" spans="1:5" ht="22.5" customHeight="1" x14ac:dyDescent="0.35">
      <c r="A6" s="3" t="s">
        <v>12</v>
      </c>
      <c r="B6" s="4">
        <v>7</v>
      </c>
      <c r="C6" s="5">
        <v>7.8</v>
      </c>
      <c r="D6" s="4">
        <v>9</v>
      </c>
      <c r="E6" s="6">
        <f t="shared" si="0"/>
        <v>7.9333333333333336</v>
      </c>
    </row>
    <row r="7" spans="1:5" ht="22.5" customHeight="1" x14ac:dyDescent="0.35">
      <c r="A7" s="3" t="s">
        <v>13</v>
      </c>
      <c r="B7" s="4">
        <v>7</v>
      </c>
      <c r="C7" s="5">
        <v>7.6</v>
      </c>
      <c r="D7" s="4">
        <v>2</v>
      </c>
      <c r="E7" s="6">
        <f t="shared" si="0"/>
        <v>5.5333333333333341</v>
      </c>
    </row>
    <row r="8" spans="1:5" ht="22.5" customHeight="1" x14ac:dyDescent="0.35">
      <c r="A8" s="3" t="s">
        <v>5</v>
      </c>
      <c r="B8" s="4">
        <v>3</v>
      </c>
      <c r="C8" s="4">
        <v>1</v>
      </c>
      <c r="D8" s="4">
        <v>1</v>
      </c>
      <c r="E8" s="6">
        <f t="shared" si="0"/>
        <v>1.6666666666666667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E922D-3E3D-4554-B4B3-5B29387844E3}">
  <sheetPr codeName="Planilha5">
    <tabColor rgb="FFFFFF00"/>
  </sheetPr>
  <dimension ref="A1:E18"/>
  <sheetViews>
    <sheetView topLeftCell="A7" zoomScale="145" zoomScaleNormal="145" workbookViewId="0">
      <selection activeCell="D13" sqref="D13"/>
    </sheetView>
  </sheetViews>
  <sheetFormatPr defaultRowHeight="14.4" x14ac:dyDescent="0.3"/>
  <cols>
    <col min="1" max="1" width="19.88671875" customWidth="1"/>
    <col min="2" max="2" width="14.33203125" customWidth="1"/>
    <col min="3" max="3" width="31.33203125" customWidth="1"/>
  </cols>
  <sheetData>
    <row r="1" spans="1:5" ht="23.4" x14ac:dyDescent="0.45">
      <c r="A1" s="103" t="s">
        <v>15</v>
      </c>
      <c r="B1" s="103"/>
      <c r="C1" s="103"/>
    </row>
    <row r="2" spans="1:5" x14ac:dyDescent="0.3">
      <c r="A2" s="64"/>
      <c r="B2" s="64"/>
      <c r="C2" s="64"/>
    </row>
    <row r="3" spans="1:5" ht="22.5" customHeight="1" x14ac:dyDescent="0.4">
      <c r="A3" s="65" t="s">
        <v>1</v>
      </c>
      <c r="B3" s="66" t="s">
        <v>9</v>
      </c>
      <c r="C3" s="89" t="s">
        <v>16</v>
      </c>
    </row>
    <row r="4" spans="1:5" ht="22.5" customHeight="1" x14ac:dyDescent="0.35">
      <c r="A4" s="67" t="s">
        <v>2</v>
      </c>
      <c r="B4" s="68">
        <f>AVERAGE('1º Trimestre'!E4,'2º Trimestre'!E3,'3º Trimestre'!E4)</f>
        <v>6.6888888888888891</v>
      </c>
      <c r="C4" s="90" t="str">
        <f>IF(B4&gt;=6,"Aprovado","Reprovado")</f>
        <v>Aprovado</v>
      </c>
    </row>
    <row r="5" spans="1:5" ht="22.5" customHeight="1" x14ac:dyDescent="0.35">
      <c r="A5" s="67" t="s">
        <v>14</v>
      </c>
      <c r="B5" s="68">
        <f>AVERAGE('1º Trimestre'!E5,'2º Trimestre'!E4,'3º Trimestre'!E5)</f>
        <v>4.666666666666667</v>
      </c>
      <c r="C5" s="90"/>
    </row>
    <row r="6" spans="1:5" ht="22.5" customHeight="1" x14ac:dyDescent="0.35">
      <c r="A6" s="67" t="s">
        <v>12</v>
      </c>
      <c r="B6" s="68">
        <f>AVERAGE('1º Trimestre'!E6,'2º Trimestre'!E5,'3º Trimestre'!E6)</f>
        <v>7.3555555555555552</v>
      </c>
      <c r="C6" s="90"/>
      <c r="E6" s="7"/>
    </row>
    <row r="7" spans="1:5" ht="22.5" customHeight="1" x14ac:dyDescent="0.35">
      <c r="A7" s="67" t="s">
        <v>13</v>
      </c>
      <c r="B7" s="68">
        <f>AVERAGE('1º Trimestre'!E7,'2º Trimestre'!E6,'3º Trimestre'!E7)</f>
        <v>6.0666666666666673</v>
      </c>
      <c r="C7" s="90"/>
      <c r="E7" s="7"/>
    </row>
    <row r="8" spans="1:5" ht="22.5" customHeight="1" x14ac:dyDescent="0.35">
      <c r="A8" s="67" t="s">
        <v>5</v>
      </c>
      <c r="B8" s="68">
        <f>AVERAGE('1º Trimestre'!E8,'2º Trimestre'!E7,'3º Trimestre'!E8)</f>
        <v>1.7777777777777779</v>
      </c>
      <c r="C8" s="90"/>
    </row>
    <row r="13" spans="1:5" ht="21" x14ac:dyDescent="0.4">
      <c r="A13" s="65" t="s">
        <v>1</v>
      </c>
      <c r="B13" s="66" t="s">
        <v>9</v>
      </c>
      <c r="C13" s="66" t="s">
        <v>128</v>
      </c>
    </row>
    <row r="14" spans="1:5" ht="18" x14ac:dyDescent="0.35">
      <c r="A14" s="67" t="s">
        <v>2</v>
      </c>
      <c r="B14" s="69">
        <f>B4</f>
        <v>6.6888888888888891</v>
      </c>
      <c r="C14" s="70">
        <v>0.95</v>
      </c>
    </row>
    <row r="15" spans="1:5" ht="18" x14ac:dyDescent="0.35">
      <c r="A15" s="67" t="s">
        <v>14</v>
      </c>
      <c r="B15" s="69">
        <f t="shared" ref="B15:B18" si="0">B5</f>
        <v>4.666666666666667</v>
      </c>
      <c r="C15" s="70">
        <v>0.55000000000000004</v>
      </c>
    </row>
    <row r="16" spans="1:5" ht="18" x14ac:dyDescent="0.35">
      <c r="A16" s="67" t="s">
        <v>12</v>
      </c>
      <c r="B16" s="69">
        <f t="shared" si="0"/>
        <v>7.3555555555555552</v>
      </c>
      <c r="C16" s="70">
        <v>1</v>
      </c>
    </row>
    <row r="17" spans="1:3" ht="18" x14ac:dyDescent="0.35">
      <c r="A17" s="67" t="s">
        <v>13</v>
      </c>
      <c r="B17" s="69">
        <f t="shared" si="0"/>
        <v>6.0666666666666673</v>
      </c>
      <c r="C17" s="70">
        <v>0.7</v>
      </c>
    </row>
    <row r="18" spans="1:3" ht="18" x14ac:dyDescent="0.35">
      <c r="A18" s="67" t="s">
        <v>5</v>
      </c>
      <c r="B18" s="69">
        <f t="shared" si="0"/>
        <v>1.7777777777777779</v>
      </c>
      <c r="C18" s="70">
        <v>0.8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1023D-6221-48AD-A0A9-2302473F21BC}">
  <sheetPr codeName="Planilha9"/>
  <dimension ref="A1:I24"/>
  <sheetViews>
    <sheetView zoomScale="115" zoomScaleNormal="115" workbookViewId="0">
      <selection activeCell="H14" sqref="H14"/>
    </sheetView>
  </sheetViews>
  <sheetFormatPr defaultRowHeight="14.4" x14ac:dyDescent="0.3"/>
  <cols>
    <col min="1" max="1" width="25.6640625" customWidth="1"/>
    <col min="2" max="5" width="11.88671875" customWidth="1"/>
    <col min="6" max="6" width="15.109375" customWidth="1"/>
    <col min="7" max="7" width="14.88671875" customWidth="1"/>
    <col min="8" max="8" width="14.44140625" bestFit="1" customWidth="1"/>
    <col min="9" max="9" width="13.88671875" bestFit="1" customWidth="1"/>
  </cols>
  <sheetData>
    <row r="1" spans="1:9" ht="21" x14ac:dyDescent="0.4">
      <c r="A1" s="104" t="s">
        <v>129</v>
      </c>
      <c r="B1" s="104"/>
      <c r="C1" s="104"/>
      <c r="D1" s="104"/>
      <c r="E1" s="104"/>
      <c r="F1" s="104"/>
      <c r="G1" s="104"/>
    </row>
    <row r="3" spans="1:9" ht="28.5" customHeight="1" x14ac:dyDescent="0.3">
      <c r="A3" s="19" t="s">
        <v>17</v>
      </c>
      <c r="B3" s="19" t="s">
        <v>31</v>
      </c>
      <c r="C3" s="19" t="s">
        <v>32</v>
      </c>
      <c r="D3" s="19" t="s">
        <v>33</v>
      </c>
      <c r="E3" s="19" t="s">
        <v>34</v>
      </c>
      <c r="F3" s="19" t="s">
        <v>35</v>
      </c>
      <c r="G3" s="20" t="s">
        <v>36</v>
      </c>
    </row>
    <row r="4" spans="1:9" ht="18" customHeight="1" x14ac:dyDescent="0.3">
      <c r="A4" s="11" t="s">
        <v>25</v>
      </c>
      <c r="B4" s="2">
        <v>17</v>
      </c>
      <c r="C4" s="2">
        <v>1.75</v>
      </c>
      <c r="D4" s="2">
        <v>76</v>
      </c>
      <c r="E4" s="77">
        <f>D4/C4^2</f>
        <v>24.816326530612244</v>
      </c>
      <c r="F4" s="2" t="str">
        <f t="shared" ref="F4:F11" si="0">VLOOKUP(E4,$H$14:$I$18,2)</f>
        <v>NORMAL</v>
      </c>
      <c r="G4" s="2" t="str">
        <f>IF(E4&gt;=25,$E$17,$E$18)</f>
        <v>Não</v>
      </c>
    </row>
    <row r="5" spans="1:9" ht="18" customHeight="1" x14ac:dyDescent="0.3">
      <c r="A5" s="11" t="s">
        <v>26</v>
      </c>
      <c r="B5" s="2">
        <v>22</v>
      </c>
      <c r="C5" s="2">
        <v>1.82</v>
      </c>
      <c r="D5" s="2">
        <v>60</v>
      </c>
      <c r="E5" s="77">
        <f t="shared" ref="E5:E11" si="1">D5/C5^2</f>
        <v>18.11375437749064</v>
      </c>
      <c r="F5" s="2" t="str">
        <f t="shared" si="0"/>
        <v>MUITO MAGRO</v>
      </c>
      <c r="G5" s="2" t="str">
        <f t="shared" ref="G5:G11" si="2">IF(E5&gt;=25,$E$17,$E$18)</f>
        <v>Não</v>
      </c>
    </row>
    <row r="6" spans="1:9" ht="18" customHeight="1" x14ac:dyDescent="0.3">
      <c r="A6" s="11" t="s">
        <v>167</v>
      </c>
      <c r="B6" s="2">
        <v>25</v>
      </c>
      <c r="C6" s="2">
        <v>1.65</v>
      </c>
      <c r="D6" s="2">
        <v>53</v>
      </c>
      <c r="E6" s="77">
        <f t="shared" si="1"/>
        <v>19.467401285583104</v>
      </c>
      <c r="F6" s="2" t="str">
        <f t="shared" si="0"/>
        <v>NORMAL</v>
      </c>
      <c r="G6" s="2" t="str">
        <f t="shared" si="2"/>
        <v>Não</v>
      </c>
    </row>
    <row r="7" spans="1:9" ht="18" customHeight="1" x14ac:dyDescent="0.3">
      <c r="A7" s="11" t="s">
        <v>27</v>
      </c>
      <c r="B7" s="2">
        <v>15</v>
      </c>
      <c r="C7" s="2">
        <v>1.68</v>
      </c>
      <c r="D7" s="2">
        <v>40</v>
      </c>
      <c r="E7" s="77">
        <f t="shared" si="1"/>
        <v>14.172335600907031</v>
      </c>
      <c r="F7" s="2" t="str">
        <f t="shared" si="0"/>
        <v>MUITO MAGRO</v>
      </c>
      <c r="G7" s="2" t="str">
        <f t="shared" si="2"/>
        <v>Não</v>
      </c>
    </row>
    <row r="8" spans="1:9" ht="18" customHeight="1" x14ac:dyDescent="0.3">
      <c r="A8" s="11" t="s">
        <v>28</v>
      </c>
      <c r="B8" s="2">
        <v>30</v>
      </c>
      <c r="C8" s="2">
        <v>1.65</v>
      </c>
      <c r="D8" s="2">
        <v>87</v>
      </c>
      <c r="E8" s="77">
        <f t="shared" si="1"/>
        <v>31.955922865013779</v>
      </c>
      <c r="F8" s="2" t="str">
        <f t="shared" si="0"/>
        <v>OBESO</v>
      </c>
      <c r="G8" s="2" t="str">
        <f t="shared" si="2"/>
        <v>Sim</v>
      </c>
    </row>
    <row r="9" spans="1:9" ht="18" customHeight="1" x14ac:dyDescent="0.3">
      <c r="A9" s="11" t="s">
        <v>29</v>
      </c>
      <c r="B9" s="2">
        <v>36</v>
      </c>
      <c r="C9" s="2">
        <v>1.59</v>
      </c>
      <c r="D9" s="2">
        <v>54</v>
      </c>
      <c r="E9" s="77">
        <f t="shared" si="1"/>
        <v>21.359914560341757</v>
      </c>
      <c r="F9" s="2" t="str">
        <f t="shared" si="0"/>
        <v>NORMAL</v>
      </c>
      <c r="G9" s="2" t="str">
        <f t="shared" si="2"/>
        <v>Não</v>
      </c>
    </row>
    <row r="10" spans="1:9" ht="18" customHeight="1" x14ac:dyDescent="0.3">
      <c r="A10" s="11" t="s">
        <v>30</v>
      </c>
      <c r="B10" s="2">
        <v>23</v>
      </c>
      <c r="C10" s="2">
        <v>1.7</v>
      </c>
      <c r="D10" s="2">
        <v>63</v>
      </c>
      <c r="E10" s="77">
        <f t="shared" si="1"/>
        <v>21.79930795847751</v>
      </c>
      <c r="F10" s="2" t="str">
        <f t="shared" si="0"/>
        <v>NORMAL</v>
      </c>
      <c r="G10" s="2" t="str">
        <f t="shared" si="2"/>
        <v>Não</v>
      </c>
    </row>
    <row r="11" spans="1:9" ht="15.6" x14ac:dyDescent="0.3">
      <c r="A11" s="11" t="s">
        <v>37</v>
      </c>
      <c r="B11" s="2">
        <v>41</v>
      </c>
      <c r="C11" s="2">
        <v>1.85</v>
      </c>
      <c r="D11" s="2">
        <v>94</v>
      </c>
      <c r="E11" s="77">
        <f t="shared" si="1"/>
        <v>27.465303140978815</v>
      </c>
      <c r="F11" s="2" t="str">
        <f t="shared" si="0"/>
        <v>SOBRE PESO</v>
      </c>
      <c r="G11" s="2" t="str">
        <f t="shared" si="2"/>
        <v>Sim</v>
      </c>
    </row>
    <row r="12" spans="1:9" ht="15" thickBot="1" x14ac:dyDescent="0.35"/>
    <row r="13" spans="1:9" ht="15.6" x14ac:dyDescent="0.3">
      <c r="A13" s="11" t="s">
        <v>38</v>
      </c>
      <c r="B13" s="2">
        <f>MAX(C4:C11)</f>
        <v>1.85</v>
      </c>
      <c r="H13" s="58" t="s">
        <v>34</v>
      </c>
      <c r="I13" s="59" t="s">
        <v>35</v>
      </c>
    </row>
    <row r="14" spans="1:9" ht="15.6" x14ac:dyDescent="0.3">
      <c r="A14" s="11" t="s">
        <v>39</v>
      </c>
      <c r="B14" s="2">
        <f>MIN(B4:B11)</f>
        <v>15</v>
      </c>
      <c r="H14" s="60">
        <v>0</v>
      </c>
      <c r="I14" s="61" t="s">
        <v>40</v>
      </c>
    </row>
    <row r="15" spans="1:9" ht="15.6" x14ac:dyDescent="0.3">
      <c r="A15" s="11" t="s">
        <v>41</v>
      </c>
      <c r="B15" s="12">
        <f>AVERAGE(D4:D11)</f>
        <v>65.875</v>
      </c>
      <c r="H15" s="60">
        <v>19</v>
      </c>
      <c r="I15" s="61" t="s">
        <v>42</v>
      </c>
    </row>
    <row r="16" spans="1:9" x14ac:dyDescent="0.3">
      <c r="H16" s="60">
        <v>25</v>
      </c>
      <c r="I16" s="61" t="s">
        <v>43</v>
      </c>
    </row>
    <row r="17" spans="1:9" ht="15.6" x14ac:dyDescent="0.3">
      <c r="A17" s="11" t="s">
        <v>130</v>
      </c>
      <c r="B17" s="1"/>
      <c r="C17" s="1"/>
      <c r="D17" s="1"/>
      <c r="E17" s="28" t="s">
        <v>132</v>
      </c>
      <c r="F17" s="57">
        <f>COUNTIF(G4:G11,E17)</f>
        <v>2</v>
      </c>
      <c r="H17" s="60">
        <v>30</v>
      </c>
      <c r="I17" s="61" t="s">
        <v>44</v>
      </c>
    </row>
    <row r="18" spans="1:9" ht="16.2" thickBot="1" x14ac:dyDescent="0.35">
      <c r="A18" s="11" t="s">
        <v>131</v>
      </c>
      <c r="B18" s="1"/>
      <c r="C18" s="1"/>
      <c r="D18" s="1"/>
      <c r="E18" s="28" t="s">
        <v>133</v>
      </c>
      <c r="F18" s="57">
        <f>COUNTIF(G4:G11,E18)</f>
        <v>6</v>
      </c>
      <c r="H18" s="62">
        <v>40</v>
      </c>
      <c r="I18" s="63" t="s">
        <v>45</v>
      </c>
    </row>
    <row r="20" spans="1:9" x14ac:dyDescent="0.3">
      <c r="A20" t="str">
        <f>PROPER(A17)</f>
        <v>Quantidade De Pessoas Que Precisam De Regime</v>
      </c>
    </row>
    <row r="23" spans="1:9" x14ac:dyDescent="0.3">
      <c r="A23" t="str">
        <f>UPPER(A20)</f>
        <v>QUANTIDADE DE PESSOAS QUE PRECISAM DE REGIME</v>
      </c>
    </row>
    <row r="24" spans="1:9" x14ac:dyDescent="0.3">
      <c r="A24" t="str">
        <f>PROPER(A23)</f>
        <v>Quantidade De Pessoas Que Precisam De Regime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3B3-03EB-4E9D-8F99-4D22EF8E4C88}">
  <sheetPr codeName="Planilha17"/>
  <dimension ref="A1:F12"/>
  <sheetViews>
    <sheetView topLeftCell="B1" zoomScale="145" zoomScaleNormal="145" workbookViewId="0">
      <selection activeCell="E8" sqref="E8"/>
    </sheetView>
  </sheetViews>
  <sheetFormatPr defaultRowHeight="14.4" x14ac:dyDescent="0.3"/>
  <cols>
    <col min="1" max="1" width="24.88671875" customWidth="1"/>
    <col min="2" max="2" width="12.109375" customWidth="1"/>
    <col min="3" max="3" width="15.109375" customWidth="1"/>
    <col min="4" max="4" width="13.5546875" customWidth="1"/>
    <col min="5" max="5" width="16.6640625" customWidth="1"/>
    <col min="6" max="6" width="13.5546875" customWidth="1"/>
  </cols>
  <sheetData>
    <row r="1" spans="1:6" x14ac:dyDescent="0.3">
      <c r="A1" s="105" t="s">
        <v>111</v>
      </c>
      <c r="B1" s="105"/>
      <c r="C1" s="105"/>
      <c r="D1" s="105"/>
      <c r="E1" s="105"/>
      <c r="F1" s="105"/>
    </row>
    <row r="2" spans="1:6" x14ac:dyDescent="0.3">
      <c r="A2" s="1"/>
      <c r="B2" s="1"/>
      <c r="C2" s="1" t="s">
        <v>112</v>
      </c>
      <c r="D2" s="54">
        <v>47.8</v>
      </c>
      <c r="E2" s="1"/>
      <c r="F2" s="1"/>
    </row>
    <row r="3" spans="1:6" ht="45" customHeight="1" x14ac:dyDescent="0.3">
      <c r="A3" s="9" t="s">
        <v>113</v>
      </c>
      <c r="B3" s="9" t="s">
        <v>114</v>
      </c>
      <c r="C3" s="9" t="s">
        <v>115</v>
      </c>
      <c r="D3" s="71" t="s">
        <v>116</v>
      </c>
      <c r="E3" s="9" t="s">
        <v>117</v>
      </c>
      <c r="F3" s="9" t="s">
        <v>118</v>
      </c>
    </row>
    <row r="4" spans="1:6" x14ac:dyDescent="0.3">
      <c r="A4" s="1" t="s">
        <v>119</v>
      </c>
      <c r="B4" s="72">
        <v>0.29166666666666669</v>
      </c>
      <c r="C4" s="72">
        <v>0.5</v>
      </c>
      <c r="D4" s="73"/>
      <c r="E4" s="74"/>
      <c r="F4" s="75"/>
    </row>
    <row r="5" spans="1:6" x14ac:dyDescent="0.3">
      <c r="A5" s="1" t="s">
        <v>120</v>
      </c>
      <c r="B5" s="72">
        <v>0.3125</v>
      </c>
      <c r="C5" s="72">
        <v>0.50347222222222221</v>
      </c>
      <c r="D5" s="73"/>
      <c r="E5" s="74"/>
      <c r="F5" s="75"/>
    </row>
    <row r="6" spans="1:6" x14ac:dyDescent="0.3">
      <c r="A6" s="1" t="s">
        <v>121</v>
      </c>
      <c r="B6" s="72">
        <v>0.30902777777777779</v>
      </c>
      <c r="C6" s="72">
        <v>0.50138888888888888</v>
      </c>
      <c r="D6" s="73"/>
      <c r="E6" s="74"/>
      <c r="F6" s="75"/>
    </row>
    <row r="7" spans="1:6" x14ac:dyDescent="0.3">
      <c r="A7" s="1" t="s">
        <v>122</v>
      </c>
      <c r="B7" s="72">
        <v>0.25</v>
      </c>
      <c r="C7" s="72">
        <v>0.50486111111111109</v>
      </c>
      <c r="D7" s="73"/>
      <c r="E7" s="74"/>
      <c r="F7" s="75"/>
    </row>
    <row r="8" spans="1:6" x14ac:dyDescent="0.3">
      <c r="A8" s="1" t="s">
        <v>123</v>
      </c>
      <c r="B8" s="72">
        <v>0.33333333333333331</v>
      </c>
      <c r="C8" s="72">
        <v>0.53125</v>
      </c>
      <c r="D8" s="73"/>
      <c r="E8" s="74"/>
      <c r="F8" s="75"/>
    </row>
    <row r="9" spans="1:6" x14ac:dyDescent="0.3">
      <c r="A9" s="1" t="s">
        <v>124</v>
      </c>
      <c r="B9" s="72">
        <v>0.34375</v>
      </c>
      <c r="C9" s="72">
        <v>0.5</v>
      </c>
      <c r="D9" s="73"/>
      <c r="E9" s="74"/>
      <c r="F9" s="75"/>
    </row>
    <row r="10" spans="1:6" x14ac:dyDescent="0.3">
      <c r="A10" s="1" t="s">
        <v>125</v>
      </c>
      <c r="B10" s="72">
        <v>0.32291666666666669</v>
      </c>
      <c r="C10" s="72">
        <v>0.51388888888888895</v>
      </c>
      <c r="D10" s="73"/>
      <c r="E10" s="74"/>
      <c r="F10" s="75"/>
    </row>
    <row r="11" spans="1:6" x14ac:dyDescent="0.3">
      <c r="A11" s="1" t="s">
        <v>126</v>
      </c>
      <c r="B11" s="72">
        <v>0.30208333333333331</v>
      </c>
      <c r="C11" s="72">
        <v>0.5</v>
      </c>
      <c r="D11" s="73"/>
      <c r="E11" s="74"/>
      <c r="F11" s="75"/>
    </row>
    <row r="12" spans="1:6" x14ac:dyDescent="0.3">
      <c r="A12" s="1" t="s">
        <v>127</v>
      </c>
      <c r="B12" s="72">
        <v>0.33333333333333331</v>
      </c>
      <c r="C12" s="72">
        <v>0.5</v>
      </c>
      <c r="D12" s="73"/>
      <c r="E12" s="74"/>
      <c r="F12" s="75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670F-FAB1-43B3-9120-1D230DC488DE}">
  <sheetPr codeName="Planilha13"/>
  <dimension ref="A1:K17"/>
  <sheetViews>
    <sheetView topLeftCell="C1" zoomScale="160" zoomScaleNormal="160" workbookViewId="0">
      <selection activeCell="E6" sqref="E6"/>
    </sheetView>
  </sheetViews>
  <sheetFormatPr defaultRowHeight="14.4" x14ac:dyDescent="0.3"/>
  <cols>
    <col min="1" max="1" width="12.6640625" customWidth="1"/>
    <col min="2" max="2" width="16.44140625" bestFit="1" customWidth="1"/>
    <col min="3" max="3" width="21.88671875" customWidth="1"/>
    <col min="4" max="4" width="23.109375" customWidth="1"/>
    <col min="5" max="5" width="15.5546875" bestFit="1" customWidth="1"/>
    <col min="6" max="6" width="11" customWidth="1"/>
    <col min="7" max="7" width="12.5546875" customWidth="1"/>
    <col min="8" max="8" width="12" customWidth="1"/>
    <col min="9" max="9" width="21" customWidth="1"/>
    <col min="11" max="11" width="13.6640625" bestFit="1" customWidth="1"/>
  </cols>
  <sheetData>
    <row r="1" spans="1:11" ht="36" customHeight="1" x14ac:dyDescent="0.3">
      <c r="A1" s="13" t="s">
        <v>17</v>
      </c>
      <c r="B1" s="13" t="s">
        <v>46</v>
      </c>
      <c r="C1" s="13" t="s">
        <v>47</v>
      </c>
      <c r="D1" s="14" t="s">
        <v>48</v>
      </c>
      <c r="E1" s="15" t="s">
        <v>49</v>
      </c>
      <c r="F1" s="15" t="s">
        <v>134</v>
      </c>
      <c r="G1" s="106" t="s">
        <v>50</v>
      </c>
      <c r="H1" s="107"/>
      <c r="I1" s="13" t="s">
        <v>51</v>
      </c>
      <c r="K1" t="s">
        <v>166</v>
      </c>
    </row>
    <row r="2" spans="1:11" x14ac:dyDescent="0.3">
      <c r="A2" s="1" t="s">
        <v>151</v>
      </c>
      <c r="B2" s="1" t="s">
        <v>158</v>
      </c>
      <c r="C2" s="1" t="str">
        <f>CONCATENATE(A2,B2)</f>
        <v>FernandaBernardo</v>
      </c>
      <c r="D2" s="1"/>
      <c r="E2" s="16"/>
      <c r="F2" s="17"/>
      <c r="G2" s="1"/>
      <c r="H2" s="1"/>
      <c r="I2" s="1"/>
      <c r="K2" t="str">
        <f>MID(F2,5,6)</f>
        <v/>
      </c>
    </row>
    <row r="3" spans="1:11" x14ac:dyDescent="0.3">
      <c r="A3" s="1" t="s">
        <v>152</v>
      </c>
      <c r="B3" s="1" t="s">
        <v>159</v>
      </c>
      <c r="C3" s="1" t="str">
        <f t="shared" ref="C3:C8" si="0">CONCATENATE(A3,B3)</f>
        <v>BrunaAzevedo</v>
      </c>
      <c r="D3" s="1"/>
      <c r="E3" s="16"/>
      <c r="F3" s="17"/>
      <c r="G3" s="1"/>
      <c r="H3" s="1"/>
      <c r="I3" s="1"/>
    </row>
    <row r="4" spans="1:11" x14ac:dyDescent="0.3">
      <c r="A4" s="1" t="s">
        <v>153</v>
      </c>
      <c r="B4" s="1" t="s">
        <v>160</v>
      </c>
      <c r="C4" s="1" t="str">
        <f t="shared" si="0"/>
        <v>JoanaCoppi</v>
      </c>
      <c r="D4" s="1"/>
      <c r="E4" s="16"/>
      <c r="F4" s="17"/>
      <c r="G4" s="1"/>
      <c r="H4" s="1"/>
      <c r="I4" s="1"/>
    </row>
    <row r="5" spans="1:11" x14ac:dyDescent="0.3">
      <c r="A5" s="1" t="s">
        <v>154</v>
      </c>
      <c r="B5" s="1" t="s">
        <v>161</v>
      </c>
      <c r="C5" s="1" t="str">
        <f t="shared" si="0"/>
        <v>RuthNazário</v>
      </c>
      <c r="D5" s="1"/>
      <c r="E5" s="16"/>
      <c r="F5" s="17"/>
      <c r="G5" s="1"/>
      <c r="H5" s="1"/>
      <c r="I5" s="1"/>
    </row>
    <row r="6" spans="1:11" x14ac:dyDescent="0.3">
      <c r="A6" s="1" t="s">
        <v>155</v>
      </c>
      <c r="B6" s="1" t="s">
        <v>162</v>
      </c>
      <c r="C6" s="1" t="str">
        <f t="shared" si="0"/>
        <v>GabrielaPatussi</v>
      </c>
      <c r="D6" s="1"/>
      <c r="E6" s="16"/>
      <c r="F6" s="17"/>
      <c r="G6" s="1"/>
      <c r="H6" s="1"/>
      <c r="I6" s="1"/>
    </row>
    <row r="7" spans="1:11" x14ac:dyDescent="0.3">
      <c r="A7" s="1" t="s">
        <v>156</v>
      </c>
      <c r="B7" s="1" t="s">
        <v>163</v>
      </c>
      <c r="C7" s="1" t="str">
        <f t="shared" si="0"/>
        <v>JussaraAndrade</v>
      </c>
      <c r="D7" s="1"/>
      <c r="E7" s="16"/>
      <c r="F7" s="17"/>
      <c r="G7" s="1"/>
      <c r="H7" s="1"/>
      <c r="I7" s="1"/>
    </row>
    <row r="8" spans="1:11" x14ac:dyDescent="0.3">
      <c r="A8" s="1" t="s">
        <v>157</v>
      </c>
      <c r="B8" s="1" t="s">
        <v>164</v>
      </c>
      <c r="C8" s="1" t="str">
        <f t="shared" si="0"/>
        <v>SeanSoares</v>
      </c>
      <c r="D8" s="1"/>
      <c r="E8" s="16"/>
      <c r="F8" s="17"/>
      <c r="G8" s="1"/>
      <c r="H8" s="1"/>
      <c r="I8" s="1"/>
    </row>
    <row r="10" spans="1:11" x14ac:dyDescent="0.3">
      <c r="A10" t="str">
        <f>PROPER(B2)</f>
        <v>Bernardo</v>
      </c>
      <c r="E10" s="81"/>
    </row>
    <row r="11" spans="1:11" x14ac:dyDescent="0.3">
      <c r="A11" t="str">
        <f t="shared" ref="A11:A16" si="1">PROPER(B3)</f>
        <v>Azevedo</v>
      </c>
      <c r="B11" t="s">
        <v>158</v>
      </c>
    </row>
    <row r="12" spans="1:11" x14ac:dyDescent="0.3">
      <c r="A12" t="str">
        <f t="shared" si="1"/>
        <v>Coppi</v>
      </c>
      <c r="B12" t="s">
        <v>159</v>
      </c>
      <c r="D12" s="37" t="s">
        <v>110</v>
      </c>
    </row>
    <row r="13" spans="1:11" x14ac:dyDescent="0.3">
      <c r="A13" t="str">
        <f t="shared" si="1"/>
        <v>Nazário</v>
      </c>
      <c r="B13" t="s">
        <v>160</v>
      </c>
    </row>
    <row r="14" spans="1:11" x14ac:dyDescent="0.3">
      <c r="A14" t="str">
        <f t="shared" si="1"/>
        <v>Patussi</v>
      </c>
      <c r="B14" t="s">
        <v>161</v>
      </c>
    </row>
    <row r="15" spans="1:11" x14ac:dyDescent="0.3">
      <c r="A15" t="str">
        <f t="shared" si="1"/>
        <v>Andrade</v>
      </c>
      <c r="B15" t="s">
        <v>162</v>
      </c>
    </row>
    <row r="16" spans="1:11" x14ac:dyDescent="0.3">
      <c r="A16" t="str">
        <f t="shared" si="1"/>
        <v>Soares</v>
      </c>
      <c r="B16" t="s">
        <v>163</v>
      </c>
    </row>
    <row r="17" spans="2:2" x14ac:dyDescent="0.3">
      <c r="B17" t="s">
        <v>164</v>
      </c>
    </row>
  </sheetData>
  <mergeCells count="1">
    <mergeCell ref="G1:H1"/>
  </mergeCells>
  <hyperlinks>
    <hyperlink ref="D12" r:id="rId1" xr:uid="{71E9A62A-E639-4829-BFEE-AA32667623A2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33F2D-F602-4D15-B3A3-2B35A0B875FC}">
  <sheetPr codeName="Planilha15"/>
  <dimension ref="A3:G34"/>
  <sheetViews>
    <sheetView topLeftCell="B1" zoomScale="115" zoomScaleNormal="115" workbookViewId="0">
      <selection activeCell="I1" sqref="I1:Q1048576"/>
    </sheetView>
  </sheetViews>
  <sheetFormatPr defaultRowHeight="14.4" x14ac:dyDescent="0.3"/>
  <cols>
    <col min="1" max="1" width="10.6640625" style="18" customWidth="1"/>
    <col min="2" max="2" width="16.33203125" bestFit="1" customWidth="1"/>
    <col min="3" max="3" width="11.5546875" customWidth="1"/>
    <col min="4" max="4" width="11.109375" bestFit="1" customWidth="1"/>
    <col min="5" max="5" width="9.109375" style="18"/>
    <col min="6" max="6" width="16.33203125" bestFit="1" customWidth="1"/>
    <col min="7" max="7" width="16" customWidth="1"/>
  </cols>
  <sheetData>
    <row r="3" spans="1:7" x14ac:dyDescent="0.3">
      <c r="A3" s="23" t="s">
        <v>57</v>
      </c>
      <c r="B3" s="26">
        <v>2</v>
      </c>
    </row>
    <row r="4" spans="1:7" x14ac:dyDescent="0.3">
      <c r="A4" s="23" t="s">
        <v>24</v>
      </c>
      <c r="B4" s="24" t="str">
        <f>VLOOKUP($B$3,$A$12:$G$34,2,0)</f>
        <v>Felipe</v>
      </c>
    </row>
    <row r="5" spans="1:7" x14ac:dyDescent="0.3">
      <c r="A5" s="23" t="s">
        <v>58</v>
      </c>
      <c r="B5" s="24" t="str">
        <f>VLOOKUP($B$3,$A$12:$G$34,3,0)</f>
        <v>Silva</v>
      </c>
    </row>
    <row r="6" spans="1:7" x14ac:dyDescent="0.3">
      <c r="A6" s="23" t="s">
        <v>59</v>
      </c>
      <c r="B6" s="24" t="str">
        <f>VLOOKUP($B$3,$A$12:$G$34,4,0)</f>
        <v>Forquilinha</v>
      </c>
    </row>
    <row r="7" spans="1:7" x14ac:dyDescent="0.3">
      <c r="A7" s="23" t="s">
        <v>92</v>
      </c>
      <c r="B7" s="26" t="str">
        <f>VLOOKUP($B$3,$A$12:$G$34,5,0)</f>
        <v>SC</v>
      </c>
    </row>
    <row r="8" spans="1:7" x14ac:dyDescent="0.3">
      <c r="A8" s="23" t="s">
        <v>61</v>
      </c>
      <c r="B8" s="25">
        <f>VLOOKUP($B$3,TBFunc[],6,0)</f>
        <v>48996347845</v>
      </c>
    </row>
    <row r="9" spans="1:7" x14ac:dyDescent="0.3">
      <c r="A9" s="23" t="s">
        <v>60</v>
      </c>
      <c r="B9" s="24" t="str">
        <f>VLOOKUP($B$3,TBFunc[],7,0)</f>
        <v>Financeiro</v>
      </c>
    </row>
    <row r="12" spans="1:7" x14ac:dyDescent="0.3">
      <c r="A12" s="29" t="s">
        <v>57</v>
      </c>
      <c r="B12" s="30" t="s">
        <v>24</v>
      </c>
      <c r="C12" s="30" t="s">
        <v>58</v>
      </c>
      <c r="D12" s="30" t="s">
        <v>59</v>
      </c>
      <c r="E12" s="30" t="s">
        <v>92</v>
      </c>
      <c r="F12" s="30" t="s">
        <v>61</v>
      </c>
      <c r="G12" s="31" t="s">
        <v>60</v>
      </c>
    </row>
    <row r="13" spans="1:7" x14ac:dyDescent="0.3">
      <c r="A13" s="27">
        <v>1</v>
      </c>
      <c r="B13" s="1" t="s">
        <v>18</v>
      </c>
      <c r="C13" s="1" t="s">
        <v>74</v>
      </c>
      <c r="D13" s="1" t="s">
        <v>89</v>
      </c>
      <c r="E13" s="21" t="s">
        <v>93</v>
      </c>
      <c r="F13" s="22">
        <v>48999831221</v>
      </c>
      <c r="G13" s="28" t="s">
        <v>56</v>
      </c>
    </row>
    <row r="14" spans="1:7" x14ac:dyDescent="0.3">
      <c r="A14" s="27">
        <f>A13+1</f>
        <v>2</v>
      </c>
      <c r="B14" s="1" t="s">
        <v>19</v>
      </c>
      <c r="C14" s="1" t="s">
        <v>75</v>
      </c>
      <c r="D14" s="1" t="s">
        <v>90</v>
      </c>
      <c r="E14" s="21" t="s">
        <v>93</v>
      </c>
      <c r="F14" s="22">
        <v>48996347845</v>
      </c>
      <c r="G14" s="28" t="s">
        <v>54</v>
      </c>
    </row>
    <row r="15" spans="1:7" x14ac:dyDescent="0.3">
      <c r="A15" s="27">
        <f t="shared" ref="A15:A32" si="0">A14+1</f>
        <v>3</v>
      </c>
      <c r="B15" s="1" t="s">
        <v>20</v>
      </c>
      <c r="C15" s="1" t="s">
        <v>76</v>
      </c>
      <c r="D15" s="1" t="s">
        <v>91</v>
      </c>
      <c r="E15" s="21" t="s">
        <v>94</v>
      </c>
      <c r="F15" s="22">
        <v>51987456321</v>
      </c>
      <c r="G15" s="28" t="s">
        <v>55</v>
      </c>
    </row>
    <row r="16" spans="1:7" x14ac:dyDescent="0.3">
      <c r="A16" s="27">
        <f t="shared" si="0"/>
        <v>4</v>
      </c>
      <c r="B16" s="1" t="s">
        <v>21</v>
      </c>
      <c r="C16" s="1" t="s">
        <v>77</v>
      </c>
      <c r="D16" s="1" t="s">
        <v>95</v>
      </c>
      <c r="E16" s="21" t="s">
        <v>96</v>
      </c>
      <c r="F16" s="22">
        <v>21999995544</v>
      </c>
      <c r="G16" s="28" t="s">
        <v>100</v>
      </c>
    </row>
    <row r="17" spans="1:7" x14ac:dyDescent="0.3">
      <c r="A17" s="27">
        <f t="shared" si="0"/>
        <v>5</v>
      </c>
      <c r="B17" s="1" t="s">
        <v>22</v>
      </c>
      <c r="C17" s="1" t="s">
        <v>78</v>
      </c>
      <c r="D17" s="1" t="s">
        <v>97</v>
      </c>
      <c r="E17" s="21" t="s">
        <v>93</v>
      </c>
      <c r="F17" s="22">
        <v>48998621214</v>
      </c>
      <c r="G17" s="28" t="s">
        <v>101</v>
      </c>
    </row>
    <row r="18" spans="1:7" x14ac:dyDescent="0.3">
      <c r="A18" s="27">
        <f t="shared" si="0"/>
        <v>6</v>
      </c>
      <c r="B18" s="1" t="s">
        <v>23</v>
      </c>
      <c r="C18" s="1" t="s">
        <v>79</v>
      </c>
      <c r="D18" s="1" t="s">
        <v>97</v>
      </c>
      <c r="E18" s="21" t="s">
        <v>93</v>
      </c>
      <c r="F18" s="22">
        <v>48999831221</v>
      </c>
      <c r="G18" s="28" t="s">
        <v>102</v>
      </c>
    </row>
    <row r="19" spans="1:7" x14ac:dyDescent="0.3">
      <c r="A19" s="27">
        <f t="shared" si="0"/>
        <v>7</v>
      </c>
      <c r="B19" s="1" t="s">
        <v>62</v>
      </c>
      <c r="C19" s="1" t="s">
        <v>80</v>
      </c>
      <c r="D19" s="1" t="s">
        <v>89</v>
      </c>
      <c r="E19" s="21" t="s">
        <v>93</v>
      </c>
      <c r="F19" s="22">
        <v>48996347845</v>
      </c>
      <c r="G19" s="28" t="s">
        <v>56</v>
      </c>
    </row>
    <row r="20" spans="1:7" x14ac:dyDescent="0.3">
      <c r="A20" s="27">
        <f t="shared" si="0"/>
        <v>8</v>
      </c>
      <c r="B20" s="1" t="s">
        <v>52</v>
      </c>
      <c r="C20" s="1" t="s">
        <v>81</v>
      </c>
      <c r="D20" s="1" t="s">
        <v>98</v>
      </c>
      <c r="E20" s="21" t="s">
        <v>93</v>
      </c>
      <c r="F20" s="22">
        <v>51987456321</v>
      </c>
      <c r="G20" s="28" t="s">
        <v>56</v>
      </c>
    </row>
    <row r="21" spans="1:7" x14ac:dyDescent="0.3">
      <c r="A21" s="27">
        <f t="shared" si="0"/>
        <v>9</v>
      </c>
      <c r="B21" s="1" t="s">
        <v>63</v>
      </c>
      <c r="C21" s="1" t="s">
        <v>82</v>
      </c>
      <c r="D21" s="1" t="s">
        <v>97</v>
      </c>
      <c r="E21" s="21" t="s">
        <v>93</v>
      </c>
      <c r="F21" s="22">
        <v>48999995544</v>
      </c>
      <c r="G21" s="28" t="s">
        <v>54</v>
      </c>
    </row>
    <row r="22" spans="1:7" x14ac:dyDescent="0.3">
      <c r="A22" s="27">
        <f t="shared" si="0"/>
        <v>10</v>
      </c>
      <c r="B22" s="1" t="s">
        <v>53</v>
      </c>
      <c r="C22" s="1" t="s">
        <v>83</v>
      </c>
      <c r="D22" s="1" t="s">
        <v>99</v>
      </c>
      <c r="E22" s="21" t="s">
        <v>93</v>
      </c>
      <c r="F22" s="22">
        <v>48998621214</v>
      </c>
      <c r="G22" s="28" t="s">
        <v>100</v>
      </c>
    </row>
    <row r="23" spans="1:7" x14ac:dyDescent="0.3">
      <c r="A23" s="27">
        <f t="shared" si="0"/>
        <v>11</v>
      </c>
      <c r="B23" s="1" t="s">
        <v>64</v>
      </c>
      <c r="C23" s="1" t="s">
        <v>84</v>
      </c>
      <c r="D23" s="1" t="s">
        <v>89</v>
      </c>
      <c r="E23" s="21" t="s">
        <v>93</v>
      </c>
      <c r="F23" s="22">
        <v>48996347845</v>
      </c>
      <c r="G23" s="28" t="s">
        <v>100</v>
      </c>
    </row>
    <row r="24" spans="1:7" x14ac:dyDescent="0.3">
      <c r="A24" s="27">
        <f t="shared" si="0"/>
        <v>12</v>
      </c>
      <c r="B24" s="1" t="s">
        <v>65</v>
      </c>
      <c r="C24" s="1" t="s">
        <v>85</v>
      </c>
      <c r="D24" s="1" t="s">
        <v>90</v>
      </c>
      <c r="E24" s="21" t="s">
        <v>93</v>
      </c>
      <c r="F24" s="22">
        <v>48987456321</v>
      </c>
      <c r="G24" s="28" t="s">
        <v>102</v>
      </c>
    </row>
    <row r="25" spans="1:7" x14ac:dyDescent="0.3">
      <c r="A25" s="27">
        <f t="shared" si="0"/>
        <v>13</v>
      </c>
      <c r="B25" s="1" t="s">
        <v>66</v>
      </c>
      <c r="C25" s="1" t="s">
        <v>80</v>
      </c>
      <c r="D25" s="1" t="s">
        <v>91</v>
      </c>
      <c r="E25" s="21" t="s">
        <v>94</v>
      </c>
      <c r="F25" s="22">
        <v>48999995544</v>
      </c>
      <c r="G25" s="28" t="s">
        <v>102</v>
      </c>
    </row>
    <row r="26" spans="1:7" x14ac:dyDescent="0.3">
      <c r="A26" s="27">
        <f t="shared" si="0"/>
        <v>14</v>
      </c>
      <c r="B26" s="1" t="s">
        <v>67</v>
      </c>
      <c r="C26" s="1" t="s">
        <v>84</v>
      </c>
      <c r="D26" s="1" t="s">
        <v>95</v>
      </c>
      <c r="E26" s="21" t="s">
        <v>96</v>
      </c>
      <c r="F26" s="22">
        <v>48998621214</v>
      </c>
      <c r="G26" s="28" t="s">
        <v>102</v>
      </c>
    </row>
    <row r="27" spans="1:7" x14ac:dyDescent="0.3">
      <c r="A27" s="27">
        <f t="shared" si="0"/>
        <v>15</v>
      </c>
      <c r="B27" s="1" t="s">
        <v>68</v>
      </c>
      <c r="C27" s="1" t="s">
        <v>86</v>
      </c>
      <c r="D27" s="1" t="s">
        <v>97</v>
      </c>
      <c r="E27" s="21" t="s">
        <v>93</v>
      </c>
      <c r="F27" s="22">
        <v>48999831221</v>
      </c>
      <c r="G27" s="28" t="s">
        <v>55</v>
      </c>
    </row>
    <row r="28" spans="1:7" x14ac:dyDescent="0.3">
      <c r="A28" s="27">
        <f t="shared" si="0"/>
        <v>16</v>
      </c>
      <c r="B28" s="1" t="s">
        <v>69</v>
      </c>
      <c r="C28" s="1" t="s">
        <v>87</v>
      </c>
      <c r="D28" s="1" t="s">
        <v>97</v>
      </c>
      <c r="E28" s="21" t="s">
        <v>93</v>
      </c>
      <c r="F28" s="22">
        <v>48996347845</v>
      </c>
      <c r="G28" s="28" t="s">
        <v>55</v>
      </c>
    </row>
    <row r="29" spans="1:7" x14ac:dyDescent="0.3">
      <c r="A29" s="27">
        <f t="shared" si="0"/>
        <v>17</v>
      </c>
      <c r="B29" s="1" t="s">
        <v>70</v>
      </c>
      <c r="C29" s="1" t="s">
        <v>75</v>
      </c>
      <c r="D29" s="1" t="s">
        <v>89</v>
      </c>
      <c r="E29" s="21" t="s">
        <v>93</v>
      </c>
      <c r="F29" s="22">
        <v>48987456321</v>
      </c>
      <c r="G29" s="28" t="s">
        <v>100</v>
      </c>
    </row>
    <row r="30" spans="1:7" x14ac:dyDescent="0.3">
      <c r="A30" s="27">
        <f t="shared" si="0"/>
        <v>18</v>
      </c>
      <c r="B30" s="1" t="s">
        <v>71</v>
      </c>
      <c r="C30" s="1" t="s">
        <v>88</v>
      </c>
      <c r="D30" s="1" t="s">
        <v>98</v>
      </c>
      <c r="E30" s="21" t="s">
        <v>93</v>
      </c>
      <c r="F30" s="22">
        <v>48999995544</v>
      </c>
      <c r="G30" s="28" t="s">
        <v>100</v>
      </c>
    </row>
    <row r="31" spans="1:7" x14ac:dyDescent="0.3">
      <c r="A31" s="27">
        <f t="shared" si="0"/>
        <v>19</v>
      </c>
      <c r="B31" s="1" t="s">
        <v>72</v>
      </c>
      <c r="C31" s="1" t="s">
        <v>80</v>
      </c>
      <c r="D31" s="1" t="s">
        <v>97</v>
      </c>
      <c r="E31" s="21" t="s">
        <v>93</v>
      </c>
      <c r="F31" s="22">
        <v>48998621214</v>
      </c>
      <c r="G31" s="28" t="s">
        <v>56</v>
      </c>
    </row>
    <row r="32" spans="1:7" x14ac:dyDescent="0.3">
      <c r="A32" s="27">
        <f t="shared" si="0"/>
        <v>20</v>
      </c>
      <c r="B32" s="33" t="s">
        <v>73</v>
      </c>
      <c r="C32" s="33" t="s">
        <v>82</v>
      </c>
      <c r="D32" s="33" t="s">
        <v>99</v>
      </c>
      <c r="E32" s="34" t="s">
        <v>93</v>
      </c>
      <c r="F32" s="35">
        <v>48996347845</v>
      </c>
      <c r="G32" s="36" t="s">
        <v>101</v>
      </c>
    </row>
    <row r="33" spans="1:7" x14ac:dyDescent="0.3">
      <c r="A33" s="27">
        <f>A32+1</f>
        <v>21</v>
      </c>
      <c r="B33" s="33" t="s">
        <v>103</v>
      </c>
      <c r="C33" s="33" t="s">
        <v>80</v>
      </c>
      <c r="D33" s="33" t="s">
        <v>99</v>
      </c>
      <c r="E33" s="34" t="s">
        <v>93</v>
      </c>
      <c r="F33" s="35">
        <v>48986594741</v>
      </c>
      <c r="G33" s="36" t="s">
        <v>102</v>
      </c>
    </row>
    <row r="34" spans="1:7" x14ac:dyDescent="0.3">
      <c r="A34" s="32"/>
      <c r="B34" s="33"/>
      <c r="C34" s="33"/>
      <c r="D34" s="33"/>
      <c r="E34" s="34"/>
      <c r="F34" s="35"/>
      <c r="G34" s="3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DD25-B09E-4E57-BBF6-88B5C092E7A1}">
  <sheetPr codeName="Planilha20"/>
  <dimension ref="A2:H33"/>
  <sheetViews>
    <sheetView tabSelected="1" zoomScale="145" zoomScaleNormal="145" workbookViewId="0">
      <selection activeCell="B8" sqref="B8"/>
    </sheetView>
  </sheetViews>
  <sheetFormatPr defaultRowHeight="14.4" x14ac:dyDescent="0.3"/>
  <cols>
    <col min="1" max="1" width="22.33203125" customWidth="1"/>
    <col min="2" max="3" width="14" bestFit="1" customWidth="1"/>
    <col min="4" max="4" width="20" bestFit="1" customWidth="1"/>
    <col min="5" max="5" width="15.6640625" customWidth="1"/>
    <col min="6" max="6" width="14" bestFit="1" customWidth="1"/>
  </cols>
  <sheetData>
    <row r="2" spans="1:8" x14ac:dyDescent="0.3">
      <c r="A2" s="108" t="s">
        <v>150</v>
      </c>
      <c r="B2" s="108"/>
      <c r="C2" s="108"/>
      <c r="D2" s="108"/>
      <c r="E2" s="108"/>
    </row>
    <row r="3" spans="1:8" x14ac:dyDescent="0.3">
      <c r="A3" s="108"/>
      <c r="B3" s="108"/>
      <c r="C3" s="108"/>
      <c r="D3" s="108"/>
      <c r="E3" s="108"/>
    </row>
    <row r="4" spans="1:8" ht="9.75" customHeight="1" x14ac:dyDescent="0.3"/>
    <row r="5" spans="1:8" x14ac:dyDescent="0.3">
      <c r="A5" s="109" t="s">
        <v>149</v>
      </c>
      <c r="B5" s="109"/>
      <c r="D5" s="109" t="s">
        <v>148</v>
      </c>
      <c r="E5" s="109"/>
    </row>
    <row r="6" spans="1:8" x14ac:dyDescent="0.3">
      <c r="A6" s="1" t="s">
        <v>138</v>
      </c>
      <c r="B6" s="80">
        <v>-80000</v>
      </c>
      <c r="D6" s="1" t="s">
        <v>138</v>
      </c>
      <c r="E6" s="80">
        <v>-80000</v>
      </c>
    </row>
    <row r="7" spans="1:8" x14ac:dyDescent="0.3">
      <c r="A7" s="1" t="s">
        <v>137</v>
      </c>
      <c r="B7" s="47">
        <v>1.0999999999999999E-2</v>
      </c>
      <c r="D7" s="1" t="s">
        <v>137</v>
      </c>
      <c r="E7" s="47">
        <v>1.0999999999999999E-2</v>
      </c>
    </row>
    <row r="8" spans="1:8" x14ac:dyDescent="0.3">
      <c r="A8" s="1" t="s">
        <v>136</v>
      </c>
      <c r="B8" s="1">
        <v>24</v>
      </c>
      <c r="D8" s="1" t="s">
        <v>136</v>
      </c>
      <c r="E8" s="85">
        <f>NPER(E7,E9,E6,,0)</f>
        <v>24.00000000000022</v>
      </c>
    </row>
    <row r="9" spans="1:8" x14ac:dyDescent="0.3">
      <c r="A9" s="1" t="s">
        <v>135</v>
      </c>
      <c r="B9" s="83">
        <f>PMT(B7,B8,B6,,0)</f>
        <v>3810.8654476332877</v>
      </c>
      <c r="D9" s="1" t="s">
        <v>135</v>
      </c>
      <c r="E9" s="54">
        <v>3810.8654476332877</v>
      </c>
    </row>
    <row r="11" spans="1:8" x14ac:dyDescent="0.3">
      <c r="A11" s="109" t="s">
        <v>147</v>
      </c>
      <c r="B11" s="109"/>
      <c r="D11" s="109" t="s">
        <v>146</v>
      </c>
      <c r="E11" s="109"/>
    </row>
    <row r="12" spans="1:8" x14ac:dyDescent="0.3">
      <c r="A12" s="1" t="s">
        <v>138</v>
      </c>
      <c r="B12" s="83">
        <f>PV(B13,B14,B15,,0)</f>
        <v>-80000.095566044096</v>
      </c>
      <c r="D12" s="1" t="s">
        <v>138</v>
      </c>
      <c r="E12" s="80">
        <v>-80000</v>
      </c>
    </row>
    <row r="13" spans="1:8" x14ac:dyDescent="0.3">
      <c r="A13" s="1" t="s">
        <v>137</v>
      </c>
      <c r="B13" s="47">
        <v>1.0999999999999999E-2</v>
      </c>
      <c r="D13" s="1" t="s">
        <v>137</v>
      </c>
      <c r="E13" s="84">
        <f>RATE(E14,E15,E12,,0)</f>
        <v>1.1000100841302554E-2</v>
      </c>
      <c r="H13" s="79"/>
    </row>
    <row r="14" spans="1:8" x14ac:dyDescent="0.3">
      <c r="A14" s="1" t="s">
        <v>136</v>
      </c>
      <c r="B14" s="1">
        <v>24</v>
      </c>
      <c r="D14" s="1" t="s">
        <v>136</v>
      </c>
      <c r="E14" s="1">
        <v>24</v>
      </c>
    </row>
    <row r="15" spans="1:8" x14ac:dyDescent="0.3">
      <c r="A15" s="1" t="s">
        <v>135</v>
      </c>
      <c r="B15" s="54">
        <v>3810.87</v>
      </c>
      <c r="D15" s="1" t="s">
        <v>135</v>
      </c>
      <c r="E15" s="54">
        <v>3810.87</v>
      </c>
    </row>
    <row r="18" spans="1:6" x14ac:dyDescent="0.3">
      <c r="A18" s="109" t="s">
        <v>145</v>
      </c>
      <c r="B18" s="109"/>
      <c r="D18" s="109" t="s">
        <v>145</v>
      </c>
      <c r="E18" s="109"/>
    </row>
    <row r="19" spans="1:6" x14ac:dyDescent="0.3">
      <c r="A19" s="1" t="s">
        <v>144</v>
      </c>
      <c r="B19" s="54">
        <v>-1000</v>
      </c>
      <c r="D19" s="1" t="s">
        <v>165</v>
      </c>
      <c r="E19" s="80">
        <v>-20000</v>
      </c>
    </row>
    <row r="20" spans="1:6" x14ac:dyDescent="0.3">
      <c r="A20" s="1" t="s">
        <v>137</v>
      </c>
      <c r="B20" s="47">
        <v>1.4999999999999999E-2</v>
      </c>
      <c r="D20" s="1" t="s">
        <v>144</v>
      </c>
      <c r="E20" s="80">
        <v>-1000</v>
      </c>
    </row>
    <row r="21" spans="1:6" x14ac:dyDescent="0.3">
      <c r="A21" s="1" t="s">
        <v>140</v>
      </c>
      <c r="B21" s="1">
        <v>24</v>
      </c>
      <c r="D21" s="1" t="s">
        <v>137</v>
      </c>
      <c r="E21" s="47">
        <v>1.4999999999999999E-2</v>
      </c>
    </row>
    <row r="22" spans="1:6" x14ac:dyDescent="0.3">
      <c r="A22" s="1" t="s">
        <v>143</v>
      </c>
      <c r="B22" s="83">
        <f>FV(B20,B21,B19,,1)</f>
        <v>29063.023607197036</v>
      </c>
      <c r="D22" s="1" t="s">
        <v>140</v>
      </c>
      <c r="E22" s="1">
        <v>24</v>
      </c>
      <c r="F22" s="49">
        <f>-E19+(-E22*E20)</f>
        <v>44000</v>
      </c>
    </row>
    <row r="23" spans="1:6" x14ac:dyDescent="0.3">
      <c r="D23" s="1" t="s">
        <v>143</v>
      </c>
      <c r="E23" s="83">
        <f>FV(E21,E22,E20,E19,1)</f>
        <v>57653.079845777436</v>
      </c>
      <c r="F23" s="78">
        <f>E23-F22</f>
        <v>13653.079845777436</v>
      </c>
    </row>
    <row r="24" spans="1:6" x14ac:dyDescent="0.3">
      <c r="B24" s="78">
        <f>B22+(B21*B19)</f>
        <v>5063.0236071970357</v>
      </c>
    </row>
    <row r="28" spans="1:6" x14ac:dyDescent="0.3">
      <c r="A28" s="109" t="s">
        <v>142</v>
      </c>
      <c r="B28" s="109"/>
    </row>
    <row r="29" spans="1:6" x14ac:dyDescent="0.3">
      <c r="A29" s="1" t="s">
        <v>141</v>
      </c>
      <c r="B29" s="54">
        <v>15000</v>
      </c>
    </row>
    <row r="30" spans="1:6" x14ac:dyDescent="0.3">
      <c r="A30" s="1" t="s">
        <v>137</v>
      </c>
      <c r="B30" s="47">
        <v>1.4999999999999999E-2</v>
      </c>
    </row>
    <row r="31" spans="1:6" x14ac:dyDescent="0.3">
      <c r="A31" s="1" t="s">
        <v>140</v>
      </c>
      <c r="B31" s="1">
        <v>24</v>
      </c>
    </row>
    <row r="32" spans="1:6" x14ac:dyDescent="0.3">
      <c r="A32" s="1" t="s">
        <v>139</v>
      </c>
      <c r="B32" s="82">
        <f>PMT(B30,B31,0,B29,1)</f>
        <v>-516.11973353953772</v>
      </c>
      <c r="C32" s="78">
        <f>-B32*24</f>
        <v>12386.873604948905</v>
      </c>
    </row>
    <row r="33" spans="3:3" x14ac:dyDescent="0.3">
      <c r="C33" s="49">
        <f>B29-C32</f>
        <v>2613.1263950510947</v>
      </c>
    </row>
  </sheetData>
  <mergeCells count="8">
    <mergeCell ref="A2:E3"/>
    <mergeCell ref="A28:B28"/>
    <mergeCell ref="A5:B5"/>
    <mergeCell ref="D5:E5"/>
    <mergeCell ref="A11:B11"/>
    <mergeCell ref="D11:E11"/>
    <mergeCell ref="A18:B18"/>
    <mergeCell ref="D18:E18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812DCE-746F-414A-B151-6066781997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Catálogo de produtos</vt:lpstr>
      <vt:lpstr>1º Trimestre</vt:lpstr>
      <vt:lpstr>2º Trimestre</vt:lpstr>
      <vt:lpstr>3º Trimestre</vt:lpstr>
      <vt:lpstr>Boletim Geral</vt:lpstr>
      <vt:lpstr>MASSA CORPOREA</vt:lpstr>
      <vt:lpstr>Relógio Ponto</vt:lpstr>
      <vt:lpstr>NOMES</vt:lpstr>
      <vt:lpstr>Procv e corresp</vt:lpstr>
      <vt:lpstr>Fórm Financ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 27</dc:creator>
  <cp:lastModifiedBy>Juliana Schmidt</cp:lastModifiedBy>
  <cp:lastPrinted>2022-04-05T23:36:58Z</cp:lastPrinted>
  <dcterms:created xsi:type="dcterms:W3CDTF">2021-09-11T11:16:14Z</dcterms:created>
  <dcterms:modified xsi:type="dcterms:W3CDTF">2024-11-25T16:00:12Z</dcterms:modified>
</cp:coreProperties>
</file>